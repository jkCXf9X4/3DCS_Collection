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oneer-my.sharepoint.com/personal/erik_rosenlund_external_veoneer_com/Documents/Work/2020-06-12_MDO_3dcs/test_model/"/>
    </mc:Choice>
  </mc:AlternateContent>
  <xr:revisionPtr revIDLastSave="2" documentId="8_{4EC8C7F6-7AA4-4EB2-8824-1D848F9A0BBB}" xr6:coauthVersionLast="45" xr6:coauthVersionMax="45" xr10:uidLastSave="{B2B14000-6B9D-46B4-BC09-15BED4432393}"/>
  <bookViews>
    <workbookView xWindow="-120" yWindow="-120" windowWidth="29040" windowHeight="17640" activeTab="1" xr2:uid="{575B1592-0889-439A-8C4D-5D85DD0BF0B2}"/>
  </bookViews>
  <sheets>
    <sheet name="Tolerances" sheetId="11" r:id="rId1"/>
    <sheet name="GD&amp;T" sheetId="10" r:id="rId2"/>
    <sheet name="Moves" sheetId="9" r:id="rId3"/>
    <sheet name="Measures" sheetId="8" r:id="rId4"/>
    <sheet name="Points" sheetId="7" r:id="rId5"/>
    <sheet name="Spec Study" sheetId="6" r:id="rId6"/>
    <sheet name="Geo" sheetId="5" r:id="rId7"/>
    <sheet name="Feature Creation" sheetId="4" r:id="rId8"/>
    <sheet name="Version" sheetId="3" r:id="rId9"/>
    <sheet name="Unit" sheetId="2" r:id="rId10"/>
    <sheet name="Feature Examples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9" l="1"/>
  <c r="B4" i="9"/>
  <c r="B5" i="10"/>
  <c r="B4" i="10"/>
  <c r="I10" i="8"/>
  <c r="I8" i="8"/>
  <c r="I7" i="8"/>
  <c r="I6" i="8"/>
  <c r="I5" i="8"/>
  <c r="B5" i="8"/>
  <c r="I4" i="8"/>
</calcChain>
</file>

<file path=xl/sharedStrings.xml><?xml version="1.0" encoding="utf-8"?>
<sst xmlns="http://schemas.openxmlformats.org/spreadsheetml/2006/main" count="916" uniqueCount="285">
  <si>
    <t>PART</t>
  </si>
  <si>
    <t>#Pts</t>
  </si>
  <si>
    <t>Index</t>
  </si>
  <si>
    <t>Point</t>
  </si>
  <si>
    <t>X</t>
  </si>
  <si>
    <t>Y</t>
  </si>
  <si>
    <t>Z</t>
  </si>
  <si>
    <t>I</t>
  </si>
  <si>
    <t>J</t>
  </si>
  <si>
    <t>K</t>
  </si>
  <si>
    <t>Description</t>
  </si>
  <si>
    <t>FOS</t>
  </si>
  <si>
    <t>Diameter</t>
  </si>
  <si>
    <t>#Dir</t>
  </si>
  <si>
    <t>Type</t>
  </si>
  <si>
    <t>#Dir Feats</t>
  </si>
  <si>
    <t>Dir Feat Name</t>
  </si>
  <si>
    <t>Dir Feat Type</t>
  </si>
  <si>
    <t>Dir Feat Part</t>
  </si>
  <si>
    <t>Start Angle</t>
  </si>
  <si>
    <t>Angle Range</t>
  </si>
  <si>
    <t>Hole/Pin</t>
  </si>
  <si>
    <t>ToleranceOn/Off</t>
  </si>
  <si>
    <t>Distribution</t>
  </si>
  <si>
    <t>Extra Param 1</t>
  </si>
  <si>
    <t>Extra Param 2</t>
  </si>
  <si>
    <t>Plus</t>
  </si>
  <si>
    <t>Minus</t>
  </si>
  <si>
    <t>MinTruncVal</t>
  </si>
  <si>
    <t>MinTruncOn</t>
  </si>
  <si>
    <t>MaxTruncVal</t>
  </si>
  <si>
    <t>MaxTruncOn</t>
  </si>
  <si>
    <t>SigmaNum</t>
  </si>
  <si>
    <t>HLMLevel</t>
  </si>
  <si>
    <t>Scale</t>
  </si>
  <si>
    <t>End Point 1</t>
  </si>
  <si>
    <t>End Point 2</t>
  </si>
  <si>
    <t>Old Name (do not edit)</t>
  </si>
  <si>
    <t>Part1_1</t>
  </si>
  <si>
    <t>Target</t>
  </si>
  <si>
    <t>Circle</t>
  </si>
  <si>
    <t>AssocDir</t>
  </si>
  <si>
    <t>Normal</t>
  </si>
  <si>
    <t>N/A</t>
  </si>
  <si>
    <t>2</t>
  </si>
  <si>
    <t>NO</t>
  </si>
  <si>
    <t>3</t>
  </si>
  <si>
    <t>4</t>
  </si>
  <si>
    <t>Object</t>
  </si>
  <si>
    <t>Part1_2</t>
  </si>
  <si>
    <t>Measure</t>
  </si>
  <si>
    <t>Active</t>
  </si>
  <si>
    <t>As Output</t>
  </si>
  <si>
    <t>Mode</t>
  </si>
  <si>
    <t>#Feats1</t>
  </si>
  <si>
    <t>Name(Feature)</t>
  </si>
  <si>
    <t>Type(Feature)</t>
  </si>
  <si>
    <t>Part Name</t>
  </si>
  <si>
    <t>#Feats2</t>
  </si>
  <si>
    <t>Relative/Abs</t>
  </si>
  <si>
    <t>USpecL</t>
  </si>
  <si>
    <t>LSpecL</t>
  </si>
  <si>
    <t>#SubMeas</t>
  </si>
  <si>
    <t>SubMeas Name</t>
  </si>
  <si>
    <t>SubMeas Part Name</t>
  </si>
  <si>
    <t>Direction Mode</t>
  </si>
  <si>
    <t># in String List</t>
  </si>
  <si>
    <t>User-Dll String List</t>
  </si>
  <si>
    <t># in Constant List</t>
  </si>
  <si>
    <t>Constant Name(read-only)</t>
  </si>
  <si>
    <t>User-Dll Constant List</t>
  </si>
  <si>
    <t>User Routine</t>
  </si>
  <si>
    <t>Old Name (Do not edit)</t>
  </si>
  <si>
    <t>Product1</t>
  </si>
  <si>
    <t>Meas1</t>
  </si>
  <si>
    <t>description</t>
  </si>
  <si>
    <t>Circle Interference</t>
  </si>
  <si>
    <t>CadSurf3</t>
  </si>
  <si>
    <t>CadSurf (Hole) (D=30,0000)</t>
  </si>
  <si>
    <t>CadSurf (Pin) (D=34,0000)</t>
  </si>
  <si>
    <t>Part3_1</t>
  </si>
  <si>
    <t>Meas2</t>
  </si>
  <si>
    <t>Point (Pin) (D=40,0000)</t>
  </si>
  <si>
    <t>Point (Hole) (D=30,0000)</t>
  </si>
  <si>
    <t>[HEADER]_Header_test1</t>
  </si>
  <si>
    <t>User-DLL</t>
  </si>
  <si>
    <t>Meas3</t>
  </si>
  <si>
    <t>Point Distance</t>
  </si>
  <si>
    <t>CadSurf1</t>
  </si>
  <si>
    <t>CadSurf (Pin) (D=24,0000)</t>
  </si>
  <si>
    <t>Meas4</t>
  </si>
  <si>
    <t>Circle Diameter</t>
  </si>
  <si>
    <t>Meas6</t>
  </si>
  <si>
    <t>[VAL]_Some_validation_function</t>
  </si>
  <si>
    <t>Tolerance</t>
  </si>
  <si>
    <t>Mat. Cond</t>
  </si>
  <si>
    <t>#Feats</t>
  </si>
  <si>
    <t>#Rand</t>
  </si>
  <si>
    <t>GD&amp;T</t>
  </si>
  <si>
    <t>#Surface</t>
  </si>
  <si>
    <t>Surface Name</t>
  </si>
  <si>
    <t>Surface Part</t>
  </si>
  <si>
    <t>Modifier</t>
  </si>
  <si>
    <t>GrpFrame</t>
  </si>
  <si>
    <t>Orientation</t>
  </si>
  <si>
    <t>Form</t>
  </si>
  <si>
    <t>Primary</t>
  </si>
  <si>
    <t>Secondary</t>
  </si>
  <si>
    <t>Tertiary</t>
  </si>
  <si>
    <t>DRF Active</t>
  </si>
  <si>
    <t>Gtol1</t>
  </si>
  <si>
    <t>Surface Profile</t>
  </si>
  <si>
    <t>CadSurf2</t>
  </si>
  <si>
    <t>RFS</t>
  </si>
  <si>
    <t>NONE</t>
  </si>
  <si>
    <t>CadSurf4</t>
  </si>
  <si>
    <t>CadSurf5</t>
  </si>
  <si>
    <t>Move</t>
  </si>
  <si>
    <t>Animation</t>
  </si>
  <si>
    <t>#Move Parts</t>
  </si>
  <si>
    <t>Name</t>
  </si>
  <si>
    <t>Float Index</t>
  </si>
  <si>
    <t>H-P-Name</t>
  </si>
  <si>
    <t>Float Active</t>
  </si>
  <si>
    <t>PinSize</t>
  </si>
  <si>
    <t>HoleSize</t>
  </si>
  <si>
    <t>#Randoms</t>
  </si>
  <si>
    <t>Mag Ran Active</t>
  </si>
  <si>
    <t>Mag Type</t>
  </si>
  <si>
    <t>Mag Sigma</t>
  </si>
  <si>
    <t>Mag Scale</t>
  </si>
  <si>
    <t>Mag HlmLevel</t>
  </si>
  <si>
    <t>Ang Ran Active</t>
  </si>
  <si>
    <t>Ang Type</t>
  </si>
  <si>
    <t>Ang Plus</t>
  </si>
  <si>
    <t>Ang Minus</t>
  </si>
  <si>
    <t>Ang MaxTrucOn</t>
  </si>
  <si>
    <t>Ang MaxTrucVal</t>
  </si>
  <si>
    <t>Ang MinTrucOn</t>
  </si>
  <si>
    <t>Ang MinTrucVal</t>
  </si>
  <si>
    <t>Ang Sigma</t>
  </si>
  <si>
    <t>Ang Scale</t>
  </si>
  <si>
    <t>Ang HlmLevel</t>
  </si>
  <si>
    <t>Conditional Measure</t>
  </si>
  <si>
    <t>Conditional Out</t>
  </si>
  <si>
    <t>Interference Measure</t>
  </si>
  <si>
    <t>Interference Iterations</t>
  </si>
  <si>
    <t>Iter Mode</t>
  </si>
  <si>
    <t>Iter Init Step</t>
  </si>
  <si>
    <t>Iter Max Move Num</t>
  </si>
  <si>
    <t>Name (Iter Center Pt)</t>
  </si>
  <si>
    <t>Type (Iter Center Pt)</t>
  </si>
  <si>
    <t>Part Name (Iter Center P</t>
  </si>
  <si>
    <t>Move1</t>
  </si>
  <si>
    <t>Feature</t>
  </si>
  <si>
    <t>Pin-Hole (Part1_2_Surf_CadSurf1,Part1_1_Surf_CadSurf1) Part1_2 Part1_1</t>
  </si>
  <si>
    <t>Constant</t>
  </si>
  <si>
    <t>Uniform</t>
  </si>
  <si>
    <t>CadSurf</t>
  </si>
  <si>
    <t>Move2</t>
  </si>
  <si>
    <t>CadSurf (Pin) (D=20,0000)</t>
  </si>
  <si>
    <t>Pin-Hole (Part3_1_Surf_CadSurf1,Part1_1_Surf_CadSurf3) Part3_1 Part1_1</t>
  </si>
  <si>
    <t>Spec Item</t>
  </si>
  <si>
    <t>#Contents</t>
  </si>
  <si>
    <t>Name(Content)</t>
  </si>
  <si>
    <t>Type(Content)</t>
  </si>
  <si>
    <t>Part(Content)</t>
  </si>
  <si>
    <t>Current Value</t>
  </si>
  <si>
    <t>(X)Current Value</t>
  </si>
  <si>
    <t>(Y)Current Value</t>
  </si>
  <si>
    <t>(Z)Current Value</t>
  </si>
  <si>
    <t>Value</t>
  </si>
  <si>
    <t>Comp1</t>
  </si>
  <si>
    <t>Comp2</t>
  </si>
  <si>
    <t>Manual 1</t>
  </si>
  <si>
    <t>Radius 1</t>
  </si>
  <si>
    <t>Manual 2</t>
  </si>
  <si>
    <t>Radius 2</t>
  </si>
  <si>
    <t>Parent</t>
  </si>
  <si>
    <t>Version:</t>
  </si>
  <si>
    <t>Model Length Units:</t>
  </si>
  <si>
    <t>mm</t>
  </si>
  <si>
    <t>Model Angle Units:</t>
  </si>
  <si>
    <t>deg</t>
  </si>
  <si>
    <t>Model Range Offset Format:</t>
  </si>
  <si>
    <t>Model Force Units:</t>
  </si>
  <si>
    <t>N</t>
  </si>
  <si>
    <t>Examples (Copy-Paste into Feat. Creation Sheet to use in Model with existing Part named 'Root'):</t>
  </si>
  <si>
    <t>Part</t>
  </si>
  <si>
    <t>Root</t>
  </si>
  <si>
    <t>NewPart</t>
  </si>
  <si>
    <t>linept1</t>
  </si>
  <si>
    <t>linept2</t>
  </si>
  <si>
    <t>Line</t>
  </si>
  <si>
    <t>dynend1</t>
  </si>
  <si>
    <t>dynend2</t>
  </si>
  <si>
    <t>Dyn Pt</t>
  </si>
  <si>
    <t>dynptname</t>
  </si>
  <si>
    <t>circtr</t>
  </si>
  <si>
    <t>Type In</t>
  </si>
  <si>
    <t>null</t>
  </si>
  <si>
    <t>slotend1</t>
  </si>
  <si>
    <t>slotend2</t>
  </si>
  <si>
    <t>Slot</t>
  </si>
  <si>
    <t>slotCenter</t>
  </si>
  <si>
    <t>holeend1</t>
  </si>
  <si>
    <t>holeend2</t>
  </si>
  <si>
    <t>Hole</t>
  </si>
  <si>
    <t>Descriptive:</t>
  </si>
  <si>
    <t>New Part Name</t>
  </si>
  <si>
    <t>Pt1</t>
  </si>
  <si>
    <t>Pt1 Parent</t>
  </si>
  <si>
    <t>Pt2</t>
  </si>
  <si>
    <t>Pt2 Parent</t>
  </si>
  <si>
    <t>Dynamic Point</t>
  </si>
  <si>
    <t>Dyn Pt Name</t>
  </si>
  <si>
    <t>Dynamic Scale</t>
  </si>
  <si>
    <t>Pt</t>
  </si>
  <si>
    <t>Pt Parent</t>
  </si>
  <si>
    <t>Direction Type</t>
  </si>
  <si>
    <t>Tole Active</t>
  </si>
  <si>
    <t>Min Trunc</t>
  </si>
  <si>
    <t>Min Trunc Flag</t>
  </si>
  <si>
    <t>Max Trunc</t>
  </si>
  <si>
    <t>Max Trunc Flag</t>
  </si>
  <si>
    <t>Sigma Num</t>
  </si>
  <si>
    <t>HLM Level</t>
  </si>
  <si>
    <t>Diameter1</t>
  </si>
  <si>
    <t>Direction Type1</t>
  </si>
  <si>
    <t>I1</t>
  </si>
  <si>
    <t>J1</t>
  </si>
  <si>
    <t>K1</t>
  </si>
  <si>
    <t>#Dir Feats1</t>
  </si>
  <si>
    <t>Name(Feature)1</t>
  </si>
  <si>
    <t>Type(Feature)1</t>
  </si>
  <si>
    <t>Part Name1</t>
  </si>
  <si>
    <t>Tole Active1</t>
  </si>
  <si>
    <t>Distribution1</t>
  </si>
  <si>
    <t>Extra Param 11</t>
  </si>
  <si>
    <t>Extra Param 21</t>
  </si>
  <si>
    <t>Plus1</t>
  </si>
  <si>
    <t>Minus1</t>
  </si>
  <si>
    <t>Min Trunc1</t>
  </si>
  <si>
    <t>Min Trunc Flag1</t>
  </si>
  <si>
    <t>Max Trunc1</t>
  </si>
  <si>
    <t>Max Trunc Flag1</t>
  </si>
  <si>
    <t>Sigma Num1</t>
  </si>
  <si>
    <t>HLM Level1</t>
  </si>
  <si>
    <t>Scale1</t>
  </si>
  <si>
    <t>Diameter2</t>
  </si>
  <si>
    <t>Direction Type2</t>
  </si>
  <si>
    <t>I2</t>
  </si>
  <si>
    <t>J2</t>
  </si>
  <si>
    <t>K2</t>
  </si>
  <si>
    <t>#Dir Feats2</t>
  </si>
  <si>
    <t>Name(Feature)2</t>
  </si>
  <si>
    <t>Type(Feature)2</t>
  </si>
  <si>
    <t>Part Name2</t>
  </si>
  <si>
    <t>Tole Active2</t>
  </si>
  <si>
    <t>Distribution2</t>
  </si>
  <si>
    <t>Extra Param 12</t>
  </si>
  <si>
    <t>Extra Param 22</t>
  </si>
  <si>
    <t>Plus2</t>
  </si>
  <si>
    <t>Minus2</t>
  </si>
  <si>
    <t>Min Trunc2</t>
  </si>
  <si>
    <t>Min Trunc Flag2</t>
  </si>
  <si>
    <t>Max Trunc2</t>
  </si>
  <si>
    <t>Max Trunc Flag2</t>
  </si>
  <si>
    <t>Sigma Num2</t>
  </si>
  <si>
    <t>HLM Level2</t>
  </si>
  <si>
    <t>Scale2</t>
  </si>
  <si>
    <t>Pin</t>
  </si>
  <si>
    <t>New Pt Name</t>
  </si>
  <si>
    <t>New Tole Name</t>
  </si>
  <si>
    <t>New Move Name</t>
  </si>
  <si>
    <t>New Meas Name</t>
  </si>
  <si>
    <t>Geo Name</t>
  </si>
  <si>
    <t>Mesh File</t>
  </si>
  <si>
    <t>HSF File</t>
  </si>
  <si>
    <t/>
  </si>
  <si>
    <t>C:\Users\erik.rosenlund\OneDrive - Veoneer\Work\2020-06-12_MDO_3dcs\test_model\2020-06-05_090027.CATPart</t>
  </si>
  <si>
    <t>C:\Users\erik.rosenlund\OneDrive - Veoneer\Work\2020-06-12_MDO_3dcs\test_model\2020-06-05_090036.CATPart</t>
  </si>
  <si>
    <t>C:\Users\erik.rosenlund\OneDrive - Veoneer\Work\2020-06-12_MDO_3dcs\test_model\2020-06-05_090624.CATPart</t>
  </si>
  <si>
    <t>Limits U</t>
  </si>
  <si>
    <t>Limits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</si>
</sst>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04B3-A829-46F7-8BE1-A7E70B3C0470}">
  <dimension ref="A2:AQ2"/>
  <sheetViews>
    <sheetView workbookViewId="0">
      <pane ySplit="2" topLeftCell="A3" activePane="bottomLeft" state="frozen"/>
      <selection pane="bottomLeft" activeCell="I20" sqref="I20"/>
    </sheetView>
  </sheetViews>
  <sheetFormatPr defaultRowHeight="15" x14ac:dyDescent="0.25"/>
  <sheetData>
    <row r="2" spans="1:43" x14ac:dyDescent="0.25">
      <c r="A2" s="1" t="s">
        <v>0</v>
      </c>
      <c r="B2" s="1" t="s">
        <v>94</v>
      </c>
      <c r="C2" s="1" t="s">
        <v>10</v>
      </c>
      <c r="D2" s="1" t="s">
        <v>14</v>
      </c>
      <c r="E2" s="1" t="s">
        <v>51</v>
      </c>
      <c r="F2" s="1" t="s">
        <v>53</v>
      </c>
      <c r="G2" s="1" t="s">
        <v>95</v>
      </c>
      <c r="H2" s="1" t="s">
        <v>96</v>
      </c>
      <c r="I2" s="1" t="s">
        <v>55</v>
      </c>
      <c r="J2" s="1" t="s">
        <v>56</v>
      </c>
      <c r="K2" s="1" t="s">
        <v>57</v>
      </c>
      <c r="L2" s="1" t="s">
        <v>97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31</v>
      </c>
      <c r="V2" s="1" t="s">
        <v>32</v>
      </c>
      <c r="W2" s="1" t="s">
        <v>33</v>
      </c>
      <c r="X2" s="1" t="s">
        <v>34</v>
      </c>
      <c r="Y2" s="1" t="s">
        <v>13</v>
      </c>
      <c r="Z2" s="1" t="s">
        <v>14</v>
      </c>
      <c r="AA2" s="1" t="s">
        <v>7</v>
      </c>
      <c r="AB2" s="1" t="s">
        <v>8</v>
      </c>
      <c r="AC2" s="1" t="s">
        <v>9</v>
      </c>
      <c r="AD2" s="1" t="s">
        <v>15</v>
      </c>
      <c r="AE2" s="1" t="s">
        <v>55</v>
      </c>
      <c r="AF2" s="1" t="s">
        <v>56</v>
      </c>
      <c r="AG2" s="1" t="s">
        <v>57</v>
      </c>
      <c r="AH2" s="1" t="s">
        <v>62</v>
      </c>
      <c r="AI2" s="1" t="s">
        <v>63</v>
      </c>
      <c r="AJ2" s="1" t="s">
        <v>64</v>
      </c>
      <c r="AK2" s="1" t="s">
        <v>66</v>
      </c>
      <c r="AL2" s="1" t="s">
        <v>67</v>
      </c>
      <c r="AM2" s="1" t="s">
        <v>68</v>
      </c>
      <c r="AN2" s="1" t="s">
        <v>69</v>
      </c>
      <c r="AO2" s="1" t="s">
        <v>70</v>
      </c>
      <c r="AP2" s="1" t="s">
        <v>71</v>
      </c>
      <c r="AQ2" s="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5B2A-0336-436E-B177-755599A7F6EB}">
  <dimension ref="A2:AE5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15" x14ac:dyDescent="0.25"/>
  <cols>
    <col min="4" max="4" width="20.42578125" customWidth="1"/>
    <col min="8" max="8" width="12.85546875" customWidth="1"/>
  </cols>
  <sheetData>
    <row r="2" spans="1:31" x14ac:dyDescent="0.25">
      <c r="A2" s="1" t="s">
        <v>0</v>
      </c>
      <c r="B2" s="1" t="s">
        <v>98</v>
      </c>
      <c r="C2" s="1" t="s">
        <v>10</v>
      </c>
      <c r="D2" s="1" t="s">
        <v>14</v>
      </c>
      <c r="E2" s="1" t="s">
        <v>51</v>
      </c>
      <c r="F2" s="1" t="s">
        <v>53</v>
      </c>
      <c r="G2" s="1" t="s">
        <v>99</v>
      </c>
      <c r="H2" s="1" t="s">
        <v>100</v>
      </c>
      <c r="I2" s="1" t="s">
        <v>101</v>
      </c>
      <c r="J2" s="1" t="s">
        <v>97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102</v>
      </c>
      <c r="X2" s="1" t="s">
        <v>103</v>
      </c>
      <c r="Y2" s="1" t="s">
        <v>104</v>
      </c>
      <c r="Z2" s="1" t="s">
        <v>105</v>
      </c>
      <c r="AA2" s="1" t="s">
        <v>106</v>
      </c>
      <c r="AB2" s="1" t="s">
        <v>107</v>
      </c>
      <c r="AC2" s="1" t="s">
        <v>108</v>
      </c>
      <c r="AD2" s="1" t="s">
        <v>109</v>
      </c>
      <c r="AE2" s="1" t="s">
        <v>72</v>
      </c>
    </row>
    <row r="3" spans="1:31" x14ac:dyDescent="0.25">
      <c r="A3" s="2" t="s">
        <v>38</v>
      </c>
      <c r="B3" s="2" t="s">
        <v>110</v>
      </c>
      <c r="D3" t="s">
        <v>111</v>
      </c>
      <c r="E3">
        <v>1</v>
      </c>
      <c r="F3">
        <v>0</v>
      </c>
      <c r="G3">
        <v>3</v>
      </c>
      <c r="H3" s="2" t="s">
        <v>112</v>
      </c>
      <c r="I3" s="2" t="s">
        <v>38</v>
      </c>
      <c r="J3">
        <v>1</v>
      </c>
      <c r="K3" t="s">
        <v>42</v>
      </c>
      <c r="L3" t="s">
        <v>43</v>
      </c>
      <c r="M3" t="s">
        <v>43</v>
      </c>
      <c r="N3">
        <v>5</v>
      </c>
      <c r="O3">
        <v>-5</v>
      </c>
      <c r="P3">
        <v>-0.5</v>
      </c>
      <c r="Q3">
        <v>0</v>
      </c>
      <c r="R3">
        <v>0.5</v>
      </c>
      <c r="S3">
        <v>0</v>
      </c>
      <c r="T3">
        <v>3</v>
      </c>
      <c r="U3">
        <v>3</v>
      </c>
      <c r="V3">
        <v>1</v>
      </c>
      <c r="W3" t="s">
        <v>113</v>
      </c>
      <c r="X3">
        <v>1</v>
      </c>
      <c r="Y3">
        <v>0</v>
      </c>
      <c r="Z3">
        <v>0</v>
      </c>
      <c r="AA3" s="2" t="s">
        <v>114</v>
      </c>
      <c r="AB3" s="2" t="s">
        <v>114</v>
      </c>
      <c r="AC3" s="2" t="s">
        <v>114</v>
      </c>
      <c r="AD3">
        <v>1</v>
      </c>
      <c r="AE3" s="2" t="s">
        <v>110</v>
      </c>
    </row>
    <row r="4" spans="1:31" x14ac:dyDescent="0.25">
      <c r="A4" s="2" t="s">
        <v>38</v>
      </c>
      <c r="B4" t="str">
        <f>B3</f>
        <v>Gtol1</v>
      </c>
      <c r="D4" t="s">
        <v>111</v>
      </c>
      <c r="H4" s="2" t="s">
        <v>115</v>
      </c>
      <c r="I4" s="2" t="s">
        <v>38</v>
      </c>
      <c r="AE4" s="2" t="s">
        <v>110</v>
      </c>
    </row>
    <row r="5" spans="1:31" x14ac:dyDescent="0.25">
      <c r="A5" s="2" t="s">
        <v>38</v>
      </c>
      <c r="B5" t="str">
        <f>B3</f>
        <v>Gtol1</v>
      </c>
      <c r="D5" t="s">
        <v>111</v>
      </c>
      <c r="H5" s="2" t="s">
        <v>116</v>
      </c>
      <c r="I5" s="2" t="s">
        <v>38</v>
      </c>
      <c r="AE5" s="2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8CFF-E5C1-4CD4-ACEF-03894C1421A7}">
  <dimension ref="A2:BU6"/>
  <sheetViews>
    <sheetView workbookViewId="0">
      <pane ySplit="2" topLeftCell="A3" activePane="bottomLeft" state="frozen"/>
      <selection pane="bottomLeft" activeCell="BU2" sqref="BU2"/>
    </sheetView>
  </sheetViews>
  <sheetFormatPr defaultRowHeight="15" x14ac:dyDescent="0.25"/>
  <sheetData>
    <row r="2" spans="1:73" x14ac:dyDescent="0.25">
      <c r="A2" s="1" t="s">
        <v>0</v>
      </c>
      <c r="B2" s="1" t="s">
        <v>117</v>
      </c>
      <c r="C2" s="1" t="s">
        <v>10</v>
      </c>
      <c r="D2" s="1" t="s">
        <v>14</v>
      </c>
      <c r="E2" s="1" t="s">
        <v>51</v>
      </c>
      <c r="F2" s="1" t="s">
        <v>118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55</v>
      </c>
      <c r="M2" s="1" t="s">
        <v>56</v>
      </c>
      <c r="N2" s="1" t="s">
        <v>57</v>
      </c>
      <c r="O2" s="1" t="s">
        <v>13</v>
      </c>
      <c r="P2" s="1" t="s">
        <v>14</v>
      </c>
      <c r="Q2" s="1" t="s">
        <v>7</v>
      </c>
      <c r="R2" s="1" t="s">
        <v>8</v>
      </c>
      <c r="S2" s="1" t="s">
        <v>9</v>
      </c>
      <c r="T2" s="1" t="s">
        <v>15</v>
      </c>
      <c r="U2" s="1" t="s">
        <v>55</v>
      </c>
      <c r="V2" s="1" t="s">
        <v>56</v>
      </c>
      <c r="W2" s="1" t="s">
        <v>57</v>
      </c>
      <c r="X2" s="1" t="s">
        <v>119</v>
      </c>
      <c r="Y2" s="1" t="s">
        <v>120</v>
      </c>
      <c r="Z2" s="1" t="s">
        <v>121</v>
      </c>
      <c r="AA2" s="1" t="s">
        <v>122</v>
      </c>
      <c r="AB2" s="1" t="s">
        <v>123</v>
      </c>
      <c r="AC2" s="1" t="s">
        <v>124</v>
      </c>
      <c r="AD2" s="1" t="s">
        <v>125</v>
      </c>
      <c r="AE2" s="1" t="s">
        <v>126</v>
      </c>
      <c r="AF2" s="1" t="s">
        <v>127</v>
      </c>
      <c r="AG2" s="1" t="s">
        <v>128</v>
      </c>
      <c r="AH2" s="1" t="s">
        <v>24</v>
      </c>
      <c r="AI2" s="1" t="s">
        <v>25</v>
      </c>
      <c r="AJ2" s="1" t="s">
        <v>129</v>
      </c>
      <c r="AK2" s="1" t="s">
        <v>130</v>
      </c>
      <c r="AL2" s="1" t="s">
        <v>131</v>
      </c>
      <c r="AM2" s="1" t="s">
        <v>132</v>
      </c>
      <c r="AN2" s="1" t="s">
        <v>133</v>
      </c>
      <c r="AO2" s="1" t="s">
        <v>24</v>
      </c>
      <c r="AP2" s="1" t="s">
        <v>25</v>
      </c>
      <c r="AQ2" s="1" t="s">
        <v>134</v>
      </c>
      <c r="AR2" s="1" t="s">
        <v>135</v>
      </c>
      <c r="AS2" s="1" t="s">
        <v>136</v>
      </c>
      <c r="AT2" s="1" t="s">
        <v>137</v>
      </c>
      <c r="AU2" s="1" t="s">
        <v>138</v>
      </c>
      <c r="AV2" s="1" t="s">
        <v>139</v>
      </c>
      <c r="AW2" s="1" t="s">
        <v>140</v>
      </c>
      <c r="AX2" s="1" t="s">
        <v>141</v>
      </c>
      <c r="AY2" s="1" t="s">
        <v>142</v>
      </c>
      <c r="AZ2" s="1" t="s">
        <v>62</v>
      </c>
      <c r="BA2" s="1" t="s">
        <v>63</v>
      </c>
      <c r="BB2" s="1" t="s">
        <v>64</v>
      </c>
      <c r="BC2" s="1" t="s">
        <v>66</v>
      </c>
      <c r="BD2" s="1" t="s">
        <v>67</v>
      </c>
      <c r="BE2" s="1" t="s">
        <v>68</v>
      </c>
      <c r="BF2" s="1" t="s">
        <v>69</v>
      </c>
      <c r="BG2" s="1" t="s">
        <v>70</v>
      </c>
      <c r="BH2" s="1" t="s">
        <v>71</v>
      </c>
      <c r="BI2" s="1" t="s">
        <v>143</v>
      </c>
      <c r="BJ2" s="1" t="s">
        <v>57</v>
      </c>
      <c r="BK2" s="1" t="s">
        <v>144</v>
      </c>
      <c r="BL2" s="1" t="s">
        <v>145</v>
      </c>
      <c r="BM2" s="1" t="s">
        <v>57</v>
      </c>
      <c r="BN2" s="1" t="s">
        <v>146</v>
      </c>
      <c r="BO2" s="1" t="s">
        <v>147</v>
      </c>
      <c r="BP2" s="1" t="s">
        <v>148</v>
      </c>
      <c r="BQ2" s="1" t="s">
        <v>149</v>
      </c>
      <c r="BR2" s="1" t="s">
        <v>150</v>
      </c>
      <c r="BS2" s="1" t="s">
        <v>151</v>
      </c>
      <c r="BT2" s="1" t="s">
        <v>152</v>
      </c>
      <c r="BU2" s="1" t="s">
        <v>72</v>
      </c>
    </row>
    <row r="3" spans="1:73" x14ac:dyDescent="0.25">
      <c r="A3" s="2" t="s">
        <v>73</v>
      </c>
      <c r="B3" s="2" t="s">
        <v>153</v>
      </c>
      <c r="D3" s="2" t="s">
        <v>154</v>
      </c>
      <c r="E3">
        <v>1</v>
      </c>
      <c r="F3">
        <v>1</v>
      </c>
      <c r="G3">
        <v>2</v>
      </c>
      <c r="H3" s="2" t="s">
        <v>88</v>
      </c>
      <c r="I3" t="s">
        <v>89</v>
      </c>
      <c r="J3" s="2" t="s">
        <v>49</v>
      </c>
      <c r="K3">
        <v>2</v>
      </c>
      <c r="L3" s="2" t="s">
        <v>88</v>
      </c>
      <c r="M3" t="s">
        <v>78</v>
      </c>
      <c r="N3" s="2" t="s">
        <v>38</v>
      </c>
      <c r="O3">
        <v>0</v>
      </c>
      <c r="X3">
        <v>1</v>
      </c>
      <c r="Y3" s="2" t="s">
        <v>49</v>
      </c>
      <c r="Z3">
        <v>1</v>
      </c>
      <c r="AA3" t="s">
        <v>155</v>
      </c>
      <c r="AB3">
        <v>1</v>
      </c>
      <c r="AC3">
        <v>23.999999876045138</v>
      </c>
      <c r="AD3">
        <v>30</v>
      </c>
      <c r="AE3">
        <v>2</v>
      </c>
      <c r="AF3" t="s">
        <v>5</v>
      </c>
      <c r="AG3" t="s">
        <v>156</v>
      </c>
      <c r="AH3" t="s">
        <v>43</v>
      </c>
      <c r="AI3" t="s">
        <v>43</v>
      </c>
      <c r="AJ3">
        <v>3</v>
      </c>
      <c r="AK3">
        <v>1</v>
      </c>
      <c r="AL3">
        <v>1</v>
      </c>
      <c r="AM3" t="s">
        <v>5</v>
      </c>
      <c r="AN3" t="s">
        <v>157</v>
      </c>
      <c r="AO3" t="s">
        <v>43</v>
      </c>
      <c r="AP3" t="s">
        <v>43</v>
      </c>
      <c r="AQ3">
        <v>180</v>
      </c>
      <c r="AR3">
        <v>-180</v>
      </c>
      <c r="AS3">
        <v>0</v>
      </c>
      <c r="AT3">
        <v>180</v>
      </c>
      <c r="AU3">
        <v>0</v>
      </c>
      <c r="AV3">
        <v>-180</v>
      </c>
      <c r="AW3">
        <v>3</v>
      </c>
      <c r="AX3">
        <v>1</v>
      </c>
      <c r="AY3">
        <v>5</v>
      </c>
      <c r="AZ3">
        <v>0</v>
      </c>
      <c r="BC3">
        <v>0</v>
      </c>
      <c r="BE3">
        <v>0</v>
      </c>
      <c r="BK3">
        <v>0</v>
      </c>
      <c r="BN3">
        <v>25</v>
      </c>
      <c r="BU3" s="2" t="s">
        <v>153</v>
      </c>
    </row>
    <row r="4" spans="1:73" x14ac:dyDescent="0.25">
      <c r="A4" s="2" t="s">
        <v>73</v>
      </c>
      <c r="B4" t="str">
        <f>B3</f>
        <v>Move1</v>
      </c>
      <c r="D4" s="2" t="s">
        <v>154</v>
      </c>
      <c r="H4" s="2" t="s">
        <v>112</v>
      </c>
      <c r="I4" t="s">
        <v>158</v>
      </c>
      <c r="J4" s="2" t="s">
        <v>49</v>
      </c>
      <c r="L4" s="2" t="s">
        <v>112</v>
      </c>
      <c r="M4" t="s">
        <v>158</v>
      </c>
      <c r="N4" s="2" t="s">
        <v>38</v>
      </c>
      <c r="BU4" s="2" t="s">
        <v>153</v>
      </c>
    </row>
    <row r="5" spans="1:73" x14ac:dyDescent="0.25">
      <c r="A5" s="2" t="s">
        <v>73</v>
      </c>
      <c r="B5" s="2" t="s">
        <v>159</v>
      </c>
      <c r="D5" s="2" t="s">
        <v>154</v>
      </c>
      <c r="E5">
        <v>1</v>
      </c>
      <c r="F5">
        <v>1</v>
      </c>
      <c r="G5">
        <v>2</v>
      </c>
      <c r="H5" s="2" t="s">
        <v>88</v>
      </c>
      <c r="I5" t="s">
        <v>160</v>
      </c>
      <c r="J5" s="2" t="s">
        <v>80</v>
      </c>
      <c r="K5">
        <v>2</v>
      </c>
      <c r="L5" s="2" t="s">
        <v>77</v>
      </c>
      <c r="M5" t="s">
        <v>78</v>
      </c>
      <c r="N5" s="2" t="s">
        <v>38</v>
      </c>
      <c r="O5">
        <v>0</v>
      </c>
      <c r="X5">
        <v>1</v>
      </c>
      <c r="Y5" s="2" t="s">
        <v>80</v>
      </c>
      <c r="Z5">
        <v>1</v>
      </c>
      <c r="AA5" t="s">
        <v>161</v>
      </c>
      <c r="AB5">
        <v>1</v>
      </c>
      <c r="AC5">
        <v>19.999999668096368</v>
      </c>
      <c r="AD5">
        <v>29.999992370605455</v>
      </c>
      <c r="AE5">
        <v>2</v>
      </c>
      <c r="AF5" t="s">
        <v>5</v>
      </c>
      <c r="AG5" t="s">
        <v>156</v>
      </c>
      <c r="AH5" t="s">
        <v>43</v>
      </c>
      <c r="AI5" t="s">
        <v>43</v>
      </c>
      <c r="AJ5">
        <v>3</v>
      </c>
      <c r="AK5">
        <v>1</v>
      </c>
      <c r="AL5">
        <v>1</v>
      </c>
      <c r="AM5" t="s">
        <v>5</v>
      </c>
      <c r="AN5" t="s">
        <v>157</v>
      </c>
      <c r="AO5" t="s">
        <v>43</v>
      </c>
      <c r="AP5" t="s">
        <v>43</v>
      </c>
      <c r="AQ5">
        <v>180</v>
      </c>
      <c r="AR5">
        <v>-180</v>
      </c>
      <c r="AS5">
        <v>0</v>
      </c>
      <c r="AT5">
        <v>180</v>
      </c>
      <c r="AU5">
        <v>0</v>
      </c>
      <c r="AV5">
        <v>-180</v>
      </c>
      <c r="AW5">
        <v>3</v>
      </c>
      <c r="AX5">
        <v>1</v>
      </c>
      <c r="AY5">
        <v>5</v>
      </c>
      <c r="AZ5">
        <v>0</v>
      </c>
      <c r="BC5">
        <v>0</v>
      </c>
      <c r="BE5">
        <v>0</v>
      </c>
      <c r="BK5">
        <v>0</v>
      </c>
      <c r="BN5">
        <v>25</v>
      </c>
      <c r="BU5" s="2" t="s">
        <v>159</v>
      </c>
    </row>
    <row r="6" spans="1:73" x14ac:dyDescent="0.25">
      <c r="A6" s="2" t="s">
        <v>73</v>
      </c>
      <c r="B6" t="str">
        <f>B5</f>
        <v>Move2</v>
      </c>
      <c r="D6" s="2" t="s">
        <v>154</v>
      </c>
      <c r="H6" s="2" t="s">
        <v>112</v>
      </c>
      <c r="I6" t="s">
        <v>158</v>
      </c>
      <c r="J6" s="2" t="s">
        <v>80</v>
      </c>
      <c r="L6" s="2" t="s">
        <v>112</v>
      </c>
      <c r="M6" t="s">
        <v>158</v>
      </c>
      <c r="N6" s="2" t="s">
        <v>38</v>
      </c>
      <c r="BU6" s="2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A1E9-455D-4142-B888-52755E7010E2}">
  <dimension ref="A2:AM10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sheetData>
    <row r="2" spans="1:39" x14ac:dyDescent="0.25">
      <c r="A2" s="1" t="s">
        <v>0</v>
      </c>
      <c r="B2" s="1" t="s">
        <v>50</v>
      </c>
      <c r="C2" s="1" t="s">
        <v>10</v>
      </c>
      <c r="D2" s="1" t="s">
        <v>14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s">
        <v>57</v>
      </c>
      <c r="L2" s="1" t="s">
        <v>58</v>
      </c>
      <c r="M2" s="1" t="s">
        <v>55</v>
      </c>
      <c r="N2" s="1" t="s">
        <v>56</v>
      </c>
      <c r="O2" s="1" t="s">
        <v>57</v>
      </c>
      <c r="P2" s="1" t="s">
        <v>13</v>
      </c>
      <c r="Q2" s="1" t="s">
        <v>14</v>
      </c>
      <c r="R2" s="1" t="s">
        <v>7</v>
      </c>
      <c r="S2" s="1" t="s">
        <v>8</v>
      </c>
      <c r="T2" s="1" t="s">
        <v>9</v>
      </c>
      <c r="U2" s="1" t="s">
        <v>15</v>
      </c>
      <c r="V2" s="1" t="s">
        <v>55</v>
      </c>
      <c r="W2" s="1" t="s">
        <v>56</v>
      </c>
      <c r="X2" s="1" t="s">
        <v>57</v>
      </c>
      <c r="Y2" s="1" t="s">
        <v>59</v>
      </c>
      <c r="Z2" s="1" t="s">
        <v>60</v>
      </c>
      <c r="AA2" s="1" t="s">
        <v>61</v>
      </c>
      <c r="AB2" s="1" t="s">
        <v>34</v>
      </c>
      <c r="AC2" s="1" t="s">
        <v>62</v>
      </c>
      <c r="AD2" s="1" t="s">
        <v>63</v>
      </c>
      <c r="AE2" s="1" t="s">
        <v>64</v>
      </c>
      <c r="AF2" s="1" t="s">
        <v>65</v>
      </c>
      <c r="AG2" s="1" t="s">
        <v>66</v>
      </c>
      <c r="AH2" s="1" t="s">
        <v>67</v>
      </c>
      <c r="AI2" s="1" t="s">
        <v>68</v>
      </c>
      <c r="AJ2" s="1" t="s">
        <v>69</v>
      </c>
      <c r="AK2" s="1" t="s">
        <v>70</v>
      </c>
      <c r="AL2" s="1" t="s">
        <v>71</v>
      </c>
      <c r="AM2" s="1" t="s">
        <v>72</v>
      </c>
    </row>
    <row r="3" spans="1:39" x14ac:dyDescent="0.25">
      <c r="A3" s="2" t="s">
        <v>73</v>
      </c>
      <c r="B3" s="2" t="s">
        <v>74</v>
      </c>
      <c r="C3" t="s">
        <v>75</v>
      </c>
      <c r="D3" t="s">
        <v>76</v>
      </c>
      <c r="E3">
        <v>1</v>
      </c>
      <c r="F3">
        <v>1</v>
      </c>
      <c r="G3">
        <v>1</v>
      </c>
      <c r="H3">
        <v>1</v>
      </c>
      <c r="I3" s="2" t="s">
        <v>77</v>
      </c>
      <c r="J3" t="s">
        <v>78</v>
      </c>
      <c r="K3" s="2" t="s">
        <v>38</v>
      </c>
      <c r="L3">
        <v>1</v>
      </c>
      <c r="M3" s="2" t="s">
        <v>77</v>
      </c>
      <c r="N3" t="s">
        <v>79</v>
      </c>
      <c r="O3" s="2" t="s">
        <v>80</v>
      </c>
      <c r="P3">
        <v>0</v>
      </c>
      <c r="Y3">
        <v>0</v>
      </c>
      <c r="Z3">
        <v>100</v>
      </c>
      <c r="AA3">
        <v>0</v>
      </c>
      <c r="AB3">
        <v>1</v>
      </c>
      <c r="AC3">
        <v>0</v>
      </c>
      <c r="AF3">
        <v>0</v>
      </c>
      <c r="AG3">
        <v>0</v>
      </c>
      <c r="AI3">
        <v>0</v>
      </c>
      <c r="AK3">
        <v>0</v>
      </c>
      <c r="AM3" s="2" t="s">
        <v>74</v>
      </c>
    </row>
    <row r="4" spans="1:39" x14ac:dyDescent="0.25">
      <c r="A4" s="2" t="s">
        <v>73</v>
      </c>
      <c r="B4" s="2" t="s">
        <v>81</v>
      </c>
      <c r="D4" t="s">
        <v>76</v>
      </c>
      <c r="E4">
        <v>1</v>
      </c>
      <c r="F4">
        <v>1</v>
      </c>
      <c r="G4">
        <v>1</v>
      </c>
      <c r="H4">
        <v>2</v>
      </c>
      <c r="I4" t="str">
        <f>Points!D8</f>
        <v>2</v>
      </c>
      <c r="J4" t="s">
        <v>82</v>
      </c>
      <c r="K4" s="2" t="s">
        <v>49</v>
      </c>
      <c r="L4">
        <v>0</v>
      </c>
      <c r="P4">
        <v>0</v>
      </c>
      <c r="Y4">
        <v>0</v>
      </c>
      <c r="Z4">
        <v>100</v>
      </c>
      <c r="AA4">
        <v>0</v>
      </c>
      <c r="AB4">
        <v>1</v>
      </c>
      <c r="AC4">
        <v>0</v>
      </c>
      <c r="AF4">
        <v>0</v>
      </c>
      <c r="AG4">
        <v>0</v>
      </c>
      <c r="AI4">
        <v>0</v>
      </c>
      <c r="AK4">
        <v>0</v>
      </c>
      <c r="AM4" s="2" t="s">
        <v>81</v>
      </c>
    </row>
    <row r="5" spans="1:39" x14ac:dyDescent="0.25">
      <c r="A5" s="2" t="s">
        <v>73</v>
      </c>
      <c r="B5" t="str">
        <f>B4</f>
        <v>Meas2</v>
      </c>
      <c r="D5" t="s">
        <v>76</v>
      </c>
      <c r="I5" t="str">
        <f>Points!D3</f>
        <v>Target</v>
      </c>
      <c r="J5" t="s">
        <v>83</v>
      </c>
      <c r="K5" s="2" t="s">
        <v>38</v>
      </c>
      <c r="AM5" s="2" t="s">
        <v>81</v>
      </c>
    </row>
    <row r="6" spans="1:39" x14ac:dyDescent="0.25">
      <c r="A6" s="2" t="s">
        <v>73</v>
      </c>
      <c r="B6" s="2" t="s">
        <v>84</v>
      </c>
      <c r="D6" t="s">
        <v>85</v>
      </c>
      <c r="E6">
        <v>1</v>
      </c>
      <c r="F6">
        <v>1</v>
      </c>
      <c r="G6">
        <v>0</v>
      </c>
      <c r="H6">
        <v>1</v>
      </c>
      <c r="I6" t="str">
        <f>Points!D8</f>
        <v>2</v>
      </c>
      <c r="J6" t="s">
        <v>82</v>
      </c>
      <c r="K6" s="2" t="s">
        <v>49</v>
      </c>
      <c r="L6">
        <v>0</v>
      </c>
      <c r="P6">
        <v>0</v>
      </c>
      <c r="Y6">
        <v>1</v>
      </c>
      <c r="Z6">
        <v>1</v>
      </c>
      <c r="AA6">
        <v>-1</v>
      </c>
      <c r="AB6">
        <v>1</v>
      </c>
      <c r="AC6">
        <v>0</v>
      </c>
      <c r="AF6">
        <v>0</v>
      </c>
      <c r="AG6">
        <v>0</v>
      </c>
      <c r="AI6">
        <v>0</v>
      </c>
      <c r="AK6">
        <v>0</v>
      </c>
      <c r="AM6" s="2" t="s">
        <v>84</v>
      </c>
    </row>
    <row r="7" spans="1:39" x14ac:dyDescent="0.25">
      <c r="A7" s="2" t="s">
        <v>73</v>
      </c>
      <c r="B7" s="2" t="s">
        <v>86</v>
      </c>
      <c r="D7" t="s">
        <v>87</v>
      </c>
      <c r="E7">
        <v>1</v>
      </c>
      <c r="F7">
        <v>1</v>
      </c>
      <c r="G7">
        <v>1</v>
      </c>
      <c r="H7">
        <v>1</v>
      </c>
      <c r="I7" t="str">
        <f>Points!D7</f>
        <v>Object</v>
      </c>
      <c r="J7" t="s">
        <v>3</v>
      </c>
      <c r="K7" s="2" t="s">
        <v>38</v>
      </c>
      <c r="L7">
        <v>1</v>
      </c>
      <c r="M7" s="2" t="s">
        <v>88</v>
      </c>
      <c r="N7" t="s">
        <v>89</v>
      </c>
      <c r="O7" s="2" t="s">
        <v>49</v>
      </c>
      <c r="P7">
        <v>0</v>
      </c>
      <c r="Y7">
        <v>1</v>
      </c>
      <c r="Z7">
        <v>1</v>
      </c>
      <c r="AA7">
        <v>-1</v>
      </c>
      <c r="AB7">
        <v>1</v>
      </c>
      <c r="AC7">
        <v>0</v>
      </c>
      <c r="AF7">
        <v>0</v>
      </c>
      <c r="AG7">
        <v>0</v>
      </c>
      <c r="AI7">
        <v>0</v>
      </c>
      <c r="AK7">
        <v>0</v>
      </c>
      <c r="AM7" s="2" t="s">
        <v>86</v>
      </c>
    </row>
    <row r="8" spans="1:39" x14ac:dyDescent="0.25">
      <c r="A8" s="2" t="s">
        <v>73</v>
      </c>
      <c r="B8" s="2" t="s">
        <v>90</v>
      </c>
      <c r="D8" t="s">
        <v>91</v>
      </c>
      <c r="E8">
        <v>1</v>
      </c>
      <c r="F8">
        <v>1</v>
      </c>
      <c r="G8">
        <v>0</v>
      </c>
      <c r="H8">
        <v>1</v>
      </c>
      <c r="I8" t="str">
        <f>Points!D7</f>
        <v>Object</v>
      </c>
      <c r="J8" t="s">
        <v>3</v>
      </c>
      <c r="K8" s="2" t="s">
        <v>38</v>
      </c>
      <c r="L8">
        <v>0</v>
      </c>
      <c r="P8">
        <v>0</v>
      </c>
      <c r="Y8">
        <v>0</v>
      </c>
      <c r="Z8">
        <v>1</v>
      </c>
      <c r="AA8">
        <v>-1</v>
      </c>
      <c r="AB8">
        <v>1</v>
      </c>
      <c r="AC8">
        <v>0</v>
      </c>
      <c r="AF8">
        <v>0</v>
      </c>
      <c r="AG8">
        <v>0</v>
      </c>
      <c r="AI8">
        <v>0</v>
      </c>
      <c r="AK8">
        <v>0</v>
      </c>
      <c r="AM8" s="2" t="s">
        <v>90</v>
      </c>
    </row>
    <row r="9" spans="1:39" x14ac:dyDescent="0.25">
      <c r="A9" s="2" t="s">
        <v>73</v>
      </c>
      <c r="B9" s="2" t="s">
        <v>92</v>
      </c>
      <c r="D9" t="s">
        <v>87</v>
      </c>
      <c r="E9">
        <v>1</v>
      </c>
      <c r="F9">
        <v>1</v>
      </c>
      <c r="G9">
        <v>0</v>
      </c>
      <c r="H9">
        <v>0</v>
      </c>
      <c r="L9">
        <v>0</v>
      </c>
      <c r="P9">
        <v>1</v>
      </c>
      <c r="Q9" t="s">
        <v>41</v>
      </c>
      <c r="R9">
        <v>0</v>
      </c>
      <c r="S9">
        <v>0</v>
      </c>
      <c r="T9">
        <v>1</v>
      </c>
      <c r="U9">
        <v>0</v>
      </c>
      <c r="Y9">
        <v>1</v>
      </c>
      <c r="Z9">
        <v>1</v>
      </c>
      <c r="AA9">
        <v>-1</v>
      </c>
      <c r="AB9">
        <v>1</v>
      </c>
      <c r="AC9">
        <v>0</v>
      </c>
      <c r="AF9">
        <v>1</v>
      </c>
      <c r="AG9">
        <v>0</v>
      </c>
      <c r="AI9">
        <v>0</v>
      </c>
      <c r="AK9">
        <v>0</v>
      </c>
      <c r="AM9" s="2" t="s">
        <v>92</v>
      </c>
    </row>
    <row r="10" spans="1:39" x14ac:dyDescent="0.25">
      <c r="A10" s="2" t="s">
        <v>73</v>
      </c>
      <c r="B10" s="2" t="s">
        <v>93</v>
      </c>
      <c r="D10" t="s">
        <v>91</v>
      </c>
      <c r="E10">
        <v>1</v>
      </c>
      <c r="F10">
        <v>1</v>
      </c>
      <c r="G10">
        <v>0</v>
      </c>
      <c r="H10">
        <v>1</v>
      </c>
      <c r="I10" t="str">
        <f>Points!D8</f>
        <v>2</v>
      </c>
      <c r="J10" t="s">
        <v>82</v>
      </c>
      <c r="K10" s="2" t="s">
        <v>49</v>
      </c>
      <c r="L10">
        <v>0</v>
      </c>
      <c r="P10">
        <v>0</v>
      </c>
      <c r="Y10">
        <v>1</v>
      </c>
      <c r="Z10">
        <v>1</v>
      </c>
      <c r="AA10">
        <v>-1</v>
      </c>
      <c r="AB10">
        <v>1</v>
      </c>
      <c r="AC10">
        <v>0</v>
      </c>
      <c r="AF10">
        <v>0</v>
      </c>
      <c r="AG10">
        <v>0</v>
      </c>
      <c r="AI10">
        <v>0</v>
      </c>
      <c r="AK10">
        <v>0</v>
      </c>
      <c r="AM10" s="2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1171-A80E-4CFA-8742-A5B2A834AE85}">
  <dimension ref="A2:AS8"/>
  <sheetViews>
    <sheetView topLeftCell="S1" workbookViewId="0">
      <pane ySplit="2" topLeftCell="A3" activePane="bottomLeft" state="frozen"/>
      <selection pane="bottomLeft" activeCell="AR3" sqref="AR3"/>
    </sheetView>
  </sheetViews>
  <sheetFormatPr defaultRowHeight="15" x14ac:dyDescent="0.25"/>
  <sheetData>
    <row r="2" spans="1: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7</v>
      </c>
      <c r="Q2" s="1" t="s">
        <v>8</v>
      </c>
      <c r="R2" s="1" t="s">
        <v>9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R2" s="1" t="s">
        <v>283</v>
      </c>
      <c r="AS2" s="1" t="s">
        <v>284</v>
      </c>
    </row>
    <row r="3" spans="1:45" x14ac:dyDescent="0.25">
      <c r="A3" s="2" t="s">
        <v>38</v>
      </c>
      <c r="B3">
        <v>5</v>
      </c>
      <c r="C3">
        <v>1</v>
      </c>
      <c r="D3" s="2" t="s">
        <v>39</v>
      </c>
      <c r="E3">
        <v>-46.263759613037109</v>
      </c>
      <c r="F3">
        <v>0</v>
      </c>
      <c r="G3">
        <v>20</v>
      </c>
      <c r="H3">
        <v>0</v>
      </c>
      <c r="I3">
        <v>0</v>
      </c>
      <c r="J3">
        <v>1</v>
      </c>
      <c r="L3" t="s">
        <v>40</v>
      </c>
      <c r="M3">
        <v>30</v>
      </c>
      <c r="N3">
        <v>1</v>
      </c>
      <c r="O3" t="s">
        <v>41</v>
      </c>
      <c r="P3">
        <v>0</v>
      </c>
      <c r="Q3">
        <v>0</v>
      </c>
      <c r="R3">
        <v>1</v>
      </c>
      <c r="S3">
        <v>0</v>
      </c>
      <c r="W3">
        <v>0</v>
      </c>
      <c r="X3">
        <v>360</v>
      </c>
      <c r="Y3">
        <v>0</v>
      </c>
      <c r="Z3">
        <v>1</v>
      </c>
      <c r="AA3" t="s">
        <v>42</v>
      </c>
      <c r="AB3" t="s">
        <v>43</v>
      </c>
      <c r="AC3" t="s">
        <v>43</v>
      </c>
      <c r="AD3">
        <v>0.05</v>
      </c>
      <c r="AE3">
        <v>-0.05</v>
      </c>
      <c r="AF3">
        <v>-0.05</v>
      </c>
      <c r="AG3">
        <v>0</v>
      </c>
      <c r="AH3">
        <v>0.05</v>
      </c>
      <c r="AI3">
        <v>0</v>
      </c>
      <c r="AJ3">
        <v>3</v>
      </c>
      <c r="AK3">
        <v>3</v>
      </c>
      <c r="AL3">
        <v>1</v>
      </c>
      <c r="AO3" s="2" t="s">
        <v>39</v>
      </c>
    </row>
    <row r="4" spans="1:45" x14ac:dyDescent="0.25">
      <c r="A4" s="2" t="s">
        <v>38</v>
      </c>
      <c r="C4">
        <v>2</v>
      </c>
      <c r="D4" s="2" t="s">
        <v>44</v>
      </c>
      <c r="E4">
        <v>-80.208740234375</v>
      </c>
      <c r="F4">
        <v>-53.518119812011719</v>
      </c>
      <c r="G4">
        <v>20</v>
      </c>
      <c r="H4">
        <v>-1</v>
      </c>
      <c r="I4">
        <v>0</v>
      </c>
      <c r="J4">
        <v>0</v>
      </c>
      <c r="L4" t="s">
        <v>45</v>
      </c>
      <c r="AO4" s="2" t="s">
        <v>44</v>
      </c>
    </row>
    <row r="5" spans="1:45" x14ac:dyDescent="0.25">
      <c r="A5" s="2" t="s">
        <v>38</v>
      </c>
      <c r="C5">
        <v>3</v>
      </c>
      <c r="D5" s="2" t="s">
        <v>46</v>
      </c>
      <c r="E5">
        <v>109.77375793457031</v>
      </c>
      <c r="F5">
        <v>-53.518119812011719</v>
      </c>
      <c r="G5">
        <v>20</v>
      </c>
      <c r="H5">
        <v>0</v>
      </c>
      <c r="I5">
        <v>-1</v>
      </c>
      <c r="J5">
        <v>0</v>
      </c>
      <c r="L5" t="s">
        <v>45</v>
      </c>
      <c r="AO5" s="2" t="s">
        <v>46</v>
      </c>
    </row>
    <row r="6" spans="1:45" x14ac:dyDescent="0.25">
      <c r="A6" s="2" t="s">
        <v>38</v>
      </c>
      <c r="C6">
        <v>4</v>
      </c>
      <c r="D6" s="2" t="s">
        <v>47</v>
      </c>
      <c r="E6">
        <v>-80.208740234375</v>
      </c>
      <c r="F6">
        <v>48.590621948242188</v>
      </c>
      <c r="G6">
        <v>20</v>
      </c>
      <c r="H6">
        <v>0</v>
      </c>
      <c r="I6">
        <v>0</v>
      </c>
      <c r="J6">
        <v>1</v>
      </c>
      <c r="L6" t="s">
        <v>45</v>
      </c>
      <c r="AO6" s="2" t="s">
        <v>47</v>
      </c>
    </row>
    <row r="7" spans="1:45" x14ac:dyDescent="0.25">
      <c r="A7" s="2" t="s">
        <v>38</v>
      </c>
      <c r="C7">
        <v>5</v>
      </c>
      <c r="D7" s="2" t="s">
        <v>48</v>
      </c>
      <c r="E7">
        <v>0</v>
      </c>
      <c r="F7">
        <v>100</v>
      </c>
      <c r="G7">
        <v>0</v>
      </c>
      <c r="H7">
        <v>0</v>
      </c>
      <c r="I7">
        <v>0</v>
      </c>
      <c r="J7">
        <v>1</v>
      </c>
      <c r="L7" t="s">
        <v>45</v>
      </c>
      <c r="AO7" s="2" t="s">
        <v>48</v>
      </c>
    </row>
    <row r="8" spans="1:45" x14ac:dyDescent="0.25">
      <c r="A8" s="2" t="s">
        <v>49</v>
      </c>
      <c r="B8">
        <v>1</v>
      </c>
      <c r="C8">
        <v>1</v>
      </c>
      <c r="D8" s="2" t="s">
        <v>44</v>
      </c>
      <c r="E8">
        <v>0</v>
      </c>
      <c r="F8">
        <v>0</v>
      </c>
      <c r="G8">
        <v>-1.0658141036401503E-14</v>
      </c>
      <c r="H8">
        <v>0</v>
      </c>
      <c r="I8">
        <v>0</v>
      </c>
      <c r="J8">
        <v>-1</v>
      </c>
      <c r="L8" t="s">
        <v>40</v>
      </c>
      <c r="M8">
        <v>40</v>
      </c>
      <c r="N8">
        <v>1</v>
      </c>
      <c r="O8" t="s">
        <v>41</v>
      </c>
      <c r="P8">
        <v>0</v>
      </c>
      <c r="Q8">
        <v>0</v>
      </c>
      <c r="R8">
        <v>-1</v>
      </c>
      <c r="S8">
        <v>0</v>
      </c>
      <c r="W8">
        <v>0</v>
      </c>
      <c r="X8">
        <v>360</v>
      </c>
      <c r="Y8">
        <v>1</v>
      </c>
      <c r="Z8">
        <v>1</v>
      </c>
      <c r="AA8" t="s">
        <v>42</v>
      </c>
      <c r="AB8" t="s">
        <v>43</v>
      </c>
      <c r="AC8" t="s">
        <v>43</v>
      </c>
      <c r="AD8">
        <v>0.05</v>
      </c>
      <c r="AE8">
        <v>-0.05</v>
      </c>
      <c r="AF8">
        <v>-0.05</v>
      </c>
      <c r="AG8">
        <v>0</v>
      </c>
      <c r="AH8">
        <v>0.05</v>
      </c>
      <c r="AI8">
        <v>0</v>
      </c>
      <c r="AJ8">
        <v>3</v>
      </c>
      <c r="AK8">
        <v>3</v>
      </c>
      <c r="AL8">
        <v>1</v>
      </c>
      <c r="AO8" s="2" t="s">
        <v>44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1E44-9D21-476E-A09A-D532DB6088F2}">
  <dimension ref="A2:X2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sheetData>
    <row r="2" spans="1:24" x14ac:dyDescent="0.25">
      <c r="A2" s="1" t="s">
        <v>0</v>
      </c>
      <c r="B2" s="1" t="s">
        <v>162</v>
      </c>
      <c r="C2" s="1" t="s">
        <v>14</v>
      </c>
      <c r="D2" s="1" t="s">
        <v>163</v>
      </c>
      <c r="E2" s="1" t="s">
        <v>164</v>
      </c>
      <c r="F2" s="1" t="s">
        <v>165</v>
      </c>
      <c r="G2" s="1" t="s">
        <v>166</v>
      </c>
      <c r="H2" s="1" t="s">
        <v>167</v>
      </c>
      <c r="I2" s="1" t="s">
        <v>168</v>
      </c>
      <c r="J2" s="1" t="s">
        <v>169</v>
      </c>
      <c r="K2" s="1" t="s">
        <v>170</v>
      </c>
      <c r="L2" s="1" t="s">
        <v>14</v>
      </c>
      <c r="M2" s="1" t="s">
        <v>171</v>
      </c>
      <c r="N2" s="1" t="s">
        <v>172</v>
      </c>
      <c r="O2" s="1" t="s">
        <v>173</v>
      </c>
      <c r="P2" s="1" t="s">
        <v>174</v>
      </c>
      <c r="Q2" s="1" t="s">
        <v>175</v>
      </c>
      <c r="R2" s="1" t="s">
        <v>176</v>
      </c>
      <c r="S2" s="1" t="s">
        <v>177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79C2-242A-4608-827B-A5A75D485956}">
  <dimension ref="A2:E6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sheetData>
    <row r="2" spans="1:5" x14ac:dyDescent="0.25">
      <c r="A2" s="1" t="s">
        <v>276</v>
      </c>
      <c r="B2" s="1" t="s">
        <v>277</v>
      </c>
      <c r="C2" s="1" t="s">
        <v>278</v>
      </c>
      <c r="D2" s="1"/>
      <c r="E2" s="1"/>
    </row>
    <row r="3" spans="1:5" x14ac:dyDescent="0.25">
      <c r="A3" s="2" t="s">
        <v>38</v>
      </c>
      <c r="B3" s="2" t="s">
        <v>279</v>
      </c>
      <c r="C3" s="2" t="s">
        <v>280</v>
      </c>
    </row>
    <row r="4" spans="1:5" x14ac:dyDescent="0.25">
      <c r="A4" s="2" t="s">
        <v>49</v>
      </c>
      <c r="B4" s="2" t="s">
        <v>279</v>
      </c>
      <c r="C4" s="2" t="s">
        <v>281</v>
      </c>
    </row>
    <row r="5" spans="1:5" x14ac:dyDescent="0.25">
      <c r="A5" s="2" t="s">
        <v>80</v>
      </c>
      <c r="B5" s="2" t="s">
        <v>279</v>
      </c>
      <c r="C5" s="2" t="s">
        <v>282</v>
      </c>
    </row>
    <row r="6" spans="1:5" x14ac:dyDescent="0.25">
      <c r="A6" s="2" t="s">
        <v>73</v>
      </c>
      <c r="B6" s="2" t="s">
        <v>279</v>
      </c>
      <c r="C6" s="2" t="s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88B29-0828-438E-A671-D6EC9688FB5B}">
  <dimension ref="A2:B2"/>
  <sheetViews>
    <sheetView workbookViewId="0"/>
  </sheetViews>
  <sheetFormatPr defaultRowHeight="15" x14ac:dyDescent="0.25"/>
  <sheetData>
    <row r="2" spans="1:2" x14ac:dyDescent="0.25">
      <c r="A2" s="1" t="s">
        <v>14</v>
      </c>
      <c r="B2" s="1" t="s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A650-539D-48E9-8D27-DAA48F51FD63}">
  <dimension ref="A1:B1"/>
  <sheetViews>
    <sheetView workbookViewId="0"/>
  </sheetViews>
  <sheetFormatPr defaultRowHeight="15" x14ac:dyDescent="0.25"/>
  <sheetData>
    <row r="1" spans="1:2" x14ac:dyDescent="0.25">
      <c r="A1" s="3" t="s">
        <v>179</v>
      </c>
      <c r="B1" s="3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5387-D400-454C-8542-767A798E9562}">
  <dimension ref="A1:D4"/>
  <sheetViews>
    <sheetView workbookViewId="0"/>
  </sheetViews>
  <sheetFormatPr defaultRowHeight="15" x14ac:dyDescent="0.25"/>
  <sheetData>
    <row r="1" spans="1:4" x14ac:dyDescent="0.25">
      <c r="A1" s="3" t="s">
        <v>180</v>
      </c>
      <c r="C1" s="3" t="s">
        <v>181</v>
      </c>
    </row>
    <row r="2" spans="1:4" x14ac:dyDescent="0.25">
      <c r="A2" s="3" t="s">
        <v>182</v>
      </c>
      <c r="C2" s="3" t="s">
        <v>183</v>
      </c>
    </row>
    <row r="3" spans="1:4" x14ac:dyDescent="0.25">
      <c r="A3" s="3" t="s">
        <v>184</v>
      </c>
      <c r="D3" s="3" t="s">
        <v>26</v>
      </c>
    </row>
    <row r="4" spans="1:4" x14ac:dyDescent="0.25">
      <c r="A4" s="3" t="s">
        <v>185</v>
      </c>
      <c r="C4" s="3" t="s">
        <v>186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C2B3-1D91-4330-B987-5C07304D443F}">
  <dimension ref="A3:BV42"/>
  <sheetViews>
    <sheetView workbookViewId="0">
      <selection activeCell="I30" sqref="I30"/>
    </sheetView>
  </sheetViews>
  <sheetFormatPr defaultRowHeight="15" x14ac:dyDescent="0.25"/>
  <sheetData>
    <row r="3" spans="1:26" x14ac:dyDescent="0.25">
      <c r="A3" s="1" t="s">
        <v>187</v>
      </c>
    </row>
    <row r="4" spans="1:26" x14ac:dyDescent="0.25">
      <c r="A4" t="s">
        <v>188</v>
      </c>
      <c r="B4" t="s">
        <v>189</v>
      </c>
      <c r="C4" t="s">
        <v>190</v>
      </c>
    </row>
    <row r="5" spans="1:26" x14ac:dyDescent="0.25">
      <c r="A5" t="s">
        <v>3</v>
      </c>
      <c r="B5" t="s">
        <v>190</v>
      </c>
      <c r="C5" t="s">
        <v>191</v>
      </c>
      <c r="D5">
        <v>20</v>
      </c>
      <c r="E5">
        <v>0</v>
      </c>
      <c r="F5">
        <v>0</v>
      </c>
      <c r="G5">
        <v>0</v>
      </c>
      <c r="H5">
        <v>0</v>
      </c>
      <c r="I5">
        <v>1</v>
      </c>
      <c r="J5" t="s">
        <v>75</v>
      </c>
      <c r="K5" t="s">
        <v>45</v>
      </c>
    </row>
    <row r="6" spans="1:26" x14ac:dyDescent="0.25">
      <c r="A6" t="s">
        <v>3</v>
      </c>
      <c r="B6" t="s">
        <v>190</v>
      </c>
      <c r="C6" t="s">
        <v>192</v>
      </c>
      <c r="D6">
        <v>20</v>
      </c>
      <c r="E6">
        <v>0</v>
      </c>
      <c r="F6">
        <v>10</v>
      </c>
      <c r="G6">
        <v>0</v>
      </c>
      <c r="H6">
        <v>0</v>
      </c>
      <c r="I6">
        <v>1</v>
      </c>
      <c r="J6" t="s">
        <v>75</v>
      </c>
      <c r="K6" t="s">
        <v>45</v>
      </c>
    </row>
    <row r="7" spans="1:26" x14ac:dyDescent="0.25">
      <c r="A7" t="s">
        <v>193</v>
      </c>
      <c r="C7" t="s">
        <v>191</v>
      </c>
      <c r="D7" t="s">
        <v>190</v>
      </c>
    </row>
    <row r="8" spans="1:26" x14ac:dyDescent="0.25">
      <c r="C8" t="s">
        <v>192</v>
      </c>
      <c r="D8" t="s">
        <v>190</v>
      </c>
    </row>
    <row r="9" spans="1:26" x14ac:dyDescent="0.25">
      <c r="A9" t="s">
        <v>3</v>
      </c>
      <c r="B9" t="s">
        <v>190</v>
      </c>
      <c r="C9" t="s">
        <v>194</v>
      </c>
      <c r="D9">
        <v>-10</v>
      </c>
      <c r="E9">
        <v>0</v>
      </c>
      <c r="F9">
        <v>0</v>
      </c>
      <c r="G9">
        <v>0</v>
      </c>
      <c r="H9">
        <v>0</v>
      </c>
      <c r="I9">
        <v>1</v>
      </c>
      <c r="J9" t="s">
        <v>75</v>
      </c>
      <c r="K9" t="s">
        <v>45</v>
      </c>
    </row>
    <row r="10" spans="1:26" x14ac:dyDescent="0.25">
      <c r="A10" t="s">
        <v>3</v>
      </c>
      <c r="B10" t="s">
        <v>190</v>
      </c>
      <c r="C10" t="s">
        <v>195</v>
      </c>
      <c r="D10">
        <v>-10</v>
      </c>
      <c r="E10">
        <v>0</v>
      </c>
      <c r="F10">
        <v>10</v>
      </c>
      <c r="G10">
        <v>0</v>
      </c>
      <c r="H10">
        <v>0</v>
      </c>
      <c r="I10">
        <v>1</v>
      </c>
      <c r="J10" t="s">
        <v>75</v>
      </c>
      <c r="K10" t="s">
        <v>45</v>
      </c>
    </row>
    <row r="11" spans="1:26" x14ac:dyDescent="0.25">
      <c r="A11" t="s">
        <v>196</v>
      </c>
      <c r="C11" t="s">
        <v>194</v>
      </c>
      <c r="D11" t="s">
        <v>190</v>
      </c>
      <c r="E11" t="s">
        <v>197</v>
      </c>
      <c r="F11">
        <v>0.5</v>
      </c>
    </row>
    <row r="12" spans="1:26" x14ac:dyDescent="0.25">
      <c r="C12" t="s">
        <v>195</v>
      </c>
      <c r="D12" t="s">
        <v>190</v>
      </c>
    </row>
    <row r="13" spans="1:26" x14ac:dyDescent="0.25">
      <c r="A13" t="s">
        <v>3</v>
      </c>
      <c r="B13" t="s">
        <v>190</v>
      </c>
      <c r="C13" t="s">
        <v>198</v>
      </c>
      <c r="D13">
        <v>-10</v>
      </c>
      <c r="E13">
        <v>0</v>
      </c>
      <c r="F13">
        <v>20</v>
      </c>
      <c r="G13">
        <v>0</v>
      </c>
      <c r="H13">
        <v>0</v>
      </c>
      <c r="I13">
        <v>1</v>
      </c>
      <c r="J13" t="s">
        <v>75</v>
      </c>
      <c r="K13" t="s">
        <v>45</v>
      </c>
    </row>
    <row r="14" spans="1:26" x14ac:dyDescent="0.25">
      <c r="A14" t="s">
        <v>40</v>
      </c>
      <c r="C14" t="s">
        <v>198</v>
      </c>
      <c r="D14" t="s">
        <v>190</v>
      </c>
      <c r="E14">
        <v>2.36</v>
      </c>
      <c r="F14" t="s">
        <v>199</v>
      </c>
      <c r="G14">
        <v>0</v>
      </c>
      <c r="H14">
        <v>0</v>
      </c>
      <c r="I14">
        <v>1</v>
      </c>
      <c r="J14">
        <v>0</v>
      </c>
      <c r="K14" t="s">
        <v>200</v>
      </c>
      <c r="L14" t="s">
        <v>200</v>
      </c>
      <c r="M14" t="s">
        <v>200</v>
      </c>
      <c r="N14">
        <v>1</v>
      </c>
      <c r="O14" t="s">
        <v>42</v>
      </c>
      <c r="P14" t="s">
        <v>43</v>
      </c>
      <c r="Q14" t="s">
        <v>43</v>
      </c>
      <c r="R14">
        <v>3.1</v>
      </c>
      <c r="S14">
        <v>-3.1</v>
      </c>
      <c r="T14">
        <v>-0.1</v>
      </c>
      <c r="U14">
        <v>1</v>
      </c>
      <c r="V14">
        <v>0.1</v>
      </c>
      <c r="W14">
        <v>1</v>
      </c>
      <c r="X14">
        <v>3</v>
      </c>
      <c r="Y14">
        <v>3</v>
      </c>
      <c r="Z14">
        <v>1</v>
      </c>
    </row>
    <row r="15" spans="1:26" x14ac:dyDescent="0.25">
      <c r="A15" t="s">
        <v>3</v>
      </c>
      <c r="B15" t="s">
        <v>190</v>
      </c>
      <c r="C15" t="s">
        <v>201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 t="s">
        <v>75</v>
      </c>
      <c r="K15" t="s">
        <v>45</v>
      </c>
    </row>
    <row r="16" spans="1:26" x14ac:dyDescent="0.25">
      <c r="A16" t="s">
        <v>3</v>
      </c>
      <c r="B16" t="s">
        <v>190</v>
      </c>
      <c r="C16" t="s">
        <v>202</v>
      </c>
      <c r="D16">
        <v>0</v>
      </c>
      <c r="E16">
        <v>0</v>
      </c>
      <c r="F16">
        <v>10</v>
      </c>
      <c r="G16">
        <v>0</v>
      </c>
      <c r="H16">
        <v>0</v>
      </c>
      <c r="I16">
        <v>1</v>
      </c>
      <c r="J16" t="s">
        <v>75</v>
      </c>
      <c r="K16" t="s">
        <v>45</v>
      </c>
    </row>
    <row r="17" spans="1:26" x14ac:dyDescent="0.25">
      <c r="A17" t="s">
        <v>203</v>
      </c>
      <c r="C17" t="s">
        <v>201</v>
      </c>
      <c r="D17" t="s">
        <v>190</v>
      </c>
      <c r="E17">
        <v>1.54</v>
      </c>
      <c r="F17" t="s">
        <v>199</v>
      </c>
      <c r="G17">
        <v>1</v>
      </c>
      <c r="H17">
        <v>0</v>
      </c>
      <c r="I17">
        <v>0</v>
      </c>
      <c r="J17">
        <v>0</v>
      </c>
      <c r="K17" t="s">
        <v>200</v>
      </c>
      <c r="L17" t="s">
        <v>200</v>
      </c>
      <c r="M17" t="s">
        <v>200</v>
      </c>
      <c r="N17">
        <v>1</v>
      </c>
      <c r="O17" t="s">
        <v>42</v>
      </c>
      <c r="P17" t="s">
        <v>43</v>
      </c>
      <c r="Q17" t="s">
        <v>43</v>
      </c>
      <c r="R17">
        <v>2.75</v>
      </c>
      <c r="S17">
        <v>-2.75</v>
      </c>
      <c r="T17">
        <v>-0.1</v>
      </c>
      <c r="U17">
        <v>1</v>
      </c>
      <c r="V17">
        <v>0.1</v>
      </c>
      <c r="W17">
        <v>1</v>
      </c>
      <c r="X17">
        <v>3</v>
      </c>
      <c r="Y17">
        <v>3</v>
      </c>
      <c r="Z17">
        <v>1</v>
      </c>
    </row>
    <row r="18" spans="1:26" x14ac:dyDescent="0.25">
      <c r="C18" t="s">
        <v>202</v>
      </c>
      <c r="D18" t="s">
        <v>190</v>
      </c>
      <c r="E18" t="s">
        <v>204</v>
      </c>
      <c r="F18">
        <v>0.5</v>
      </c>
    </row>
    <row r="19" spans="1:26" x14ac:dyDescent="0.25">
      <c r="A19" t="s">
        <v>3</v>
      </c>
      <c r="B19" t="s">
        <v>190</v>
      </c>
      <c r="C19" t="s">
        <v>205</v>
      </c>
      <c r="D19">
        <v>10</v>
      </c>
      <c r="E19">
        <v>0</v>
      </c>
      <c r="F19">
        <v>0</v>
      </c>
      <c r="G19">
        <v>0</v>
      </c>
      <c r="H19">
        <v>0</v>
      </c>
      <c r="I19">
        <v>1</v>
      </c>
      <c r="J19" t="s">
        <v>75</v>
      </c>
      <c r="K19" t="s">
        <v>45</v>
      </c>
    </row>
    <row r="20" spans="1:26" x14ac:dyDescent="0.25">
      <c r="A20" t="s">
        <v>3</v>
      </c>
      <c r="B20" t="s">
        <v>190</v>
      </c>
      <c r="C20" t="s">
        <v>206</v>
      </c>
      <c r="D20">
        <v>10</v>
      </c>
      <c r="E20">
        <v>0</v>
      </c>
      <c r="F20">
        <v>10</v>
      </c>
      <c r="G20">
        <v>0</v>
      </c>
      <c r="H20">
        <v>0</v>
      </c>
      <c r="I20">
        <v>1</v>
      </c>
      <c r="J20" t="s">
        <v>75</v>
      </c>
      <c r="K20" t="s">
        <v>45</v>
      </c>
    </row>
    <row r="21" spans="1:26" x14ac:dyDescent="0.25">
      <c r="A21" t="s">
        <v>207</v>
      </c>
      <c r="C21" t="s">
        <v>205</v>
      </c>
      <c r="D21" t="s">
        <v>190</v>
      </c>
      <c r="E21">
        <v>3.3</v>
      </c>
      <c r="F21" t="s">
        <v>199</v>
      </c>
      <c r="G21">
        <v>0</v>
      </c>
      <c r="H21">
        <v>0</v>
      </c>
      <c r="I21">
        <v>1</v>
      </c>
      <c r="J21">
        <v>0</v>
      </c>
      <c r="K21" t="s">
        <v>200</v>
      </c>
      <c r="L21" t="s">
        <v>200</v>
      </c>
      <c r="M21" t="s">
        <v>200</v>
      </c>
      <c r="N21">
        <v>1</v>
      </c>
      <c r="O21" t="s">
        <v>42</v>
      </c>
      <c r="P21" t="s">
        <v>43</v>
      </c>
      <c r="Q21" t="s">
        <v>43</v>
      </c>
      <c r="R21">
        <v>2.8</v>
      </c>
      <c r="S21">
        <v>-2.8</v>
      </c>
      <c r="T21">
        <v>-0.1</v>
      </c>
      <c r="U21">
        <v>1</v>
      </c>
      <c r="V21">
        <v>0.1</v>
      </c>
      <c r="W21">
        <v>1</v>
      </c>
      <c r="X21">
        <v>3</v>
      </c>
      <c r="Y21">
        <v>3</v>
      </c>
      <c r="Z21">
        <v>1</v>
      </c>
    </row>
    <row r="22" spans="1:26" x14ac:dyDescent="0.25">
      <c r="C22" t="s">
        <v>206</v>
      </c>
      <c r="D22" t="s">
        <v>190</v>
      </c>
      <c r="E22">
        <v>2.2000000000000002</v>
      </c>
      <c r="F22" t="s">
        <v>199</v>
      </c>
      <c r="G22">
        <v>0</v>
      </c>
      <c r="H22">
        <v>0</v>
      </c>
      <c r="I22">
        <v>1</v>
      </c>
      <c r="J22">
        <v>0</v>
      </c>
      <c r="K22" t="s">
        <v>200</v>
      </c>
      <c r="L22" t="s">
        <v>200</v>
      </c>
      <c r="M22" t="s">
        <v>200</v>
      </c>
      <c r="N22">
        <v>1</v>
      </c>
      <c r="O22" t="s">
        <v>42</v>
      </c>
      <c r="P22" t="s">
        <v>43</v>
      </c>
      <c r="Q22" t="s">
        <v>43</v>
      </c>
      <c r="R22">
        <v>2.2999999999999998</v>
      </c>
      <c r="S22">
        <v>-2.2999999999999998</v>
      </c>
      <c r="T22">
        <v>-0.1</v>
      </c>
      <c r="U22">
        <v>1</v>
      </c>
      <c r="V22">
        <v>0.1</v>
      </c>
      <c r="W22">
        <v>1</v>
      </c>
      <c r="X22">
        <v>3</v>
      </c>
      <c r="Y22">
        <v>3</v>
      </c>
      <c r="Z22">
        <v>1</v>
      </c>
    </row>
    <row r="25" spans="1:26" x14ac:dyDescent="0.25">
      <c r="A25" s="1" t="s">
        <v>208</v>
      </c>
    </row>
    <row r="26" spans="1:26" x14ac:dyDescent="0.25">
      <c r="A26" s="1" t="s">
        <v>14</v>
      </c>
      <c r="B26" s="1" t="s">
        <v>178</v>
      </c>
    </row>
    <row r="27" spans="1:26" x14ac:dyDescent="0.25">
      <c r="A27" t="s">
        <v>188</v>
      </c>
      <c r="B27" t="s">
        <v>178</v>
      </c>
      <c r="C27" t="s">
        <v>209</v>
      </c>
    </row>
    <row r="28" spans="1:26" x14ac:dyDescent="0.25">
      <c r="A28" t="s">
        <v>193</v>
      </c>
      <c r="C28" t="s">
        <v>210</v>
      </c>
      <c r="D28" t="s">
        <v>211</v>
      </c>
    </row>
    <row r="29" spans="1:26" x14ac:dyDescent="0.25">
      <c r="C29" t="s">
        <v>212</v>
      </c>
      <c r="D29" t="s">
        <v>213</v>
      </c>
    </row>
    <row r="30" spans="1:26" x14ac:dyDescent="0.25">
      <c r="A30" t="s">
        <v>214</v>
      </c>
      <c r="C30" t="s">
        <v>210</v>
      </c>
      <c r="D30" t="s">
        <v>211</v>
      </c>
      <c r="E30" t="s">
        <v>215</v>
      </c>
      <c r="F30" t="s">
        <v>216</v>
      </c>
    </row>
    <row r="31" spans="1:26" x14ac:dyDescent="0.25">
      <c r="C31" t="s">
        <v>212</v>
      </c>
      <c r="D31" t="s">
        <v>213</v>
      </c>
    </row>
    <row r="32" spans="1:26" x14ac:dyDescent="0.25">
      <c r="A32" t="s">
        <v>40</v>
      </c>
      <c r="C32" t="s">
        <v>217</v>
      </c>
      <c r="D32" t="s">
        <v>218</v>
      </c>
      <c r="E32" t="s">
        <v>12</v>
      </c>
      <c r="F32" t="s">
        <v>219</v>
      </c>
      <c r="G32" t="s">
        <v>7</v>
      </c>
      <c r="H32" t="s">
        <v>8</v>
      </c>
      <c r="I32" t="s">
        <v>9</v>
      </c>
      <c r="J32" t="s">
        <v>15</v>
      </c>
      <c r="K32" t="s">
        <v>55</v>
      </c>
      <c r="L32" t="s">
        <v>56</v>
      </c>
      <c r="M32" t="s">
        <v>57</v>
      </c>
      <c r="N32" t="s">
        <v>220</v>
      </c>
      <c r="O32" t="s">
        <v>23</v>
      </c>
      <c r="P32" t="s">
        <v>24</v>
      </c>
      <c r="Q32" t="s">
        <v>25</v>
      </c>
      <c r="R32" t="s">
        <v>26</v>
      </c>
      <c r="S32" t="s">
        <v>27</v>
      </c>
      <c r="T32" t="s">
        <v>221</v>
      </c>
      <c r="U32" t="s">
        <v>222</v>
      </c>
      <c r="V32" t="s">
        <v>223</v>
      </c>
      <c r="W32" t="s">
        <v>224</v>
      </c>
      <c r="X32" t="s">
        <v>225</v>
      </c>
      <c r="Y32" t="s">
        <v>226</v>
      </c>
      <c r="Z32" t="s">
        <v>34</v>
      </c>
    </row>
    <row r="33" spans="1:74" x14ac:dyDescent="0.25">
      <c r="A33" t="s">
        <v>203</v>
      </c>
      <c r="C33" t="s">
        <v>210</v>
      </c>
      <c r="D33" t="s">
        <v>211</v>
      </c>
      <c r="E33" t="s">
        <v>12</v>
      </c>
      <c r="F33" t="s">
        <v>219</v>
      </c>
      <c r="G33" t="s">
        <v>7</v>
      </c>
      <c r="H33" t="s">
        <v>8</v>
      </c>
      <c r="I33" t="s">
        <v>9</v>
      </c>
      <c r="J33" t="s">
        <v>15</v>
      </c>
      <c r="K33" t="s">
        <v>55</v>
      </c>
      <c r="L33" t="s">
        <v>56</v>
      </c>
      <c r="M33" t="s">
        <v>57</v>
      </c>
      <c r="N33" t="s">
        <v>220</v>
      </c>
      <c r="O33" t="s">
        <v>23</v>
      </c>
      <c r="P33" t="s">
        <v>24</v>
      </c>
      <c r="Q33" t="s">
        <v>25</v>
      </c>
      <c r="R33" t="s">
        <v>26</v>
      </c>
      <c r="S33" t="s">
        <v>27</v>
      </c>
      <c r="T33" t="s">
        <v>221</v>
      </c>
      <c r="U33" t="s">
        <v>222</v>
      </c>
      <c r="V33" t="s">
        <v>223</v>
      </c>
      <c r="W33" t="s">
        <v>224</v>
      </c>
      <c r="X33" t="s">
        <v>225</v>
      </c>
      <c r="Y33" t="s">
        <v>226</v>
      </c>
      <c r="Z33" t="s">
        <v>34</v>
      </c>
    </row>
    <row r="34" spans="1:74" x14ac:dyDescent="0.25">
      <c r="C34" t="s">
        <v>212</v>
      </c>
      <c r="D34" t="s">
        <v>213</v>
      </c>
      <c r="E34" t="s">
        <v>215</v>
      </c>
      <c r="F34" t="s">
        <v>216</v>
      </c>
    </row>
    <row r="35" spans="1:74" x14ac:dyDescent="0.25">
      <c r="A35" t="s">
        <v>207</v>
      </c>
      <c r="C35" t="s">
        <v>210</v>
      </c>
      <c r="D35" t="s">
        <v>211</v>
      </c>
      <c r="E35" t="s">
        <v>227</v>
      </c>
      <c r="F35" t="s">
        <v>228</v>
      </c>
      <c r="G35" t="s">
        <v>229</v>
      </c>
      <c r="H35" t="s">
        <v>230</v>
      </c>
      <c r="I35" t="s">
        <v>231</v>
      </c>
      <c r="J35" t="s">
        <v>232</v>
      </c>
      <c r="K35" t="s">
        <v>233</v>
      </c>
      <c r="L35" t="s">
        <v>234</v>
      </c>
      <c r="M35" t="s">
        <v>235</v>
      </c>
      <c r="N35" t="s">
        <v>236</v>
      </c>
      <c r="O35" t="s">
        <v>237</v>
      </c>
      <c r="P35" t="s">
        <v>238</v>
      </c>
      <c r="Q35" t="s">
        <v>239</v>
      </c>
      <c r="R35" t="s">
        <v>240</v>
      </c>
      <c r="S35" t="s">
        <v>241</v>
      </c>
      <c r="T35" t="s">
        <v>242</v>
      </c>
      <c r="U35" t="s">
        <v>243</v>
      </c>
      <c r="V35" t="s">
        <v>244</v>
      </c>
      <c r="W35" t="s">
        <v>245</v>
      </c>
      <c r="X35" t="s">
        <v>246</v>
      </c>
      <c r="Y35" t="s">
        <v>247</v>
      </c>
      <c r="Z35" t="s">
        <v>248</v>
      </c>
    </row>
    <row r="36" spans="1:74" x14ac:dyDescent="0.25">
      <c r="C36" t="s">
        <v>212</v>
      </c>
      <c r="D36" t="s">
        <v>213</v>
      </c>
      <c r="E36" t="s">
        <v>249</v>
      </c>
      <c r="F36" t="s">
        <v>250</v>
      </c>
      <c r="G36" t="s">
        <v>251</v>
      </c>
      <c r="H36" t="s">
        <v>252</v>
      </c>
      <c r="I36" t="s">
        <v>253</v>
      </c>
      <c r="J36" t="s">
        <v>254</v>
      </c>
      <c r="K36" t="s">
        <v>255</v>
      </c>
      <c r="L36" t="s">
        <v>256</v>
      </c>
      <c r="M36" t="s">
        <v>257</v>
      </c>
      <c r="N36" t="s">
        <v>258</v>
      </c>
      <c r="O36" t="s">
        <v>259</v>
      </c>
      <c r="P36" t="s">
        <v>260</v>
      </c>
      <c r="Q36" t="s">
        <v>261</v>
      </c>
      <c r="R36" t="s">
        <v>262</v>
      </c>
      <c r="S36" t="s">
        <v>263</v>
      </c>
      <c r="T36" t="s">
        <v>264</v>
      </c>
      <c r="U36" t="s">
        <v>265</v>
      </c>
      <c r="V36" t="s">
        <v>266</v>
      </c>
      <c r="W36" t="s">
        <v>267</v>
      </c>
      <c r="X36" t="s">
        <v>268</v>
      </c>
      <c r="Y36" t="s">
        <v>269</v>
      </c>
      <c r="Z36" t="s">
        <v>270</v>
      </c>
    </row>
    <row r="37" spans="1:74" x14ac:dyDescent="0.25">
      <c r="A37" t="s">
        <v>271</v>
      </c>
      <c r="C37" t="s">
        <v>210</v>
      </c>
      <c r="D37" t="s">
        <v>211</v>
      </c>
      <c r="E37" t="s">
        <v>227</v>
      </c>
      <c r="F37" t="s">
        <v>228</v>
      </c>
      <c r="G37" t="s">
        <v>229</v>
      </c>
      <c r="H37" t="s">
        <v>230</v>
      </c>
      <c r="I37" t="s">
        <v>231</v>
      </c>
      <c r="J37" t="s">
        <v>232</v>
      </c>
      <c r="K37" t="s">
        <v>233</v>
      </c>
      <c r="L37" t="s">
        <v>234</v>
      </c>
      <c r="M37" t="s">
        <v>235</v>
      </c>
      <c r="N37" t="s">
        <v>236</v>
      </c>
      <c r="O37" t="s">
        <v>237</v>
      </c>
      <c r="P37" t="s">
        <v>238</v>
      </c>
      <c r="Q37" t="s">
        <v>239</v>
      </c>
      <c r="R37" t="s">
        <v>240</v>
      </c>
      <c r="S37" t="s">
        <v>241</v>
      </c>
      <c r="T37" t="s">
        <v>242</v>
      </c>
      <c r="U37" t="s">
        <v>243</v>
      </c>
      <c r="V37" t="s">
        <v>244</v>
      </c>
      <c r="W37" t="s">
        <v>245</v>
      </c>
      <c r="X37" t="s">
        <v>246</v>
      </c>
      <c r="Y37" t="s">
        <v>247</v>
      </c>
      <c r="Z37" t="s">
        <v>248</v>
      </c>
    </row>
    <row r="38" spans="1:74" x14ac:dyDescent="0.25">
      <c r="C38" t="s">
        <v>212</v>
      </c>
      <c r="D38" t="s">
        <v>213</v>
      </c>
      <c r="E38" t="s">
        <v>249</v>
      </c>
      <c r="F38" t="s">
        <v>250</v>
      </c>
      <c r="G38" t="s">
        <v>251</v>
      </c>
      <c r="H38" t="s">
        <v>252</v>
      </c>
      <c r="I38" t="s">
        <v>253</v>
      </c>
      <c r="J38" t="s">
        <v>254</v>
      </c>
      <c r="K38" t="s">
        <v>255</v>
      </c>
      <c r="L38" t="s">
        <v>256</v>
      </c>
      <c r="M38" t="s">
        <v>257</v>
      </c>
      <c r="N38" t="s">
        <v>258</v>
      </c>
      <c r="O38" t="s">
        <v>259</v>
      </c>
      <c r="P38" t="s">
        <v>260</v>
      </c>
      <c r="Q38" t="s">
        <v>261</v>
      </c>
      <c r="R38" t="s">
        <v>262</v>
      </c>
      <c r="S38" t="s">
        <v>263</v>
      </c>
      <c r="T38" t="s">
        <v>264</v>
      </c>
      <c r="U38" t="s">
        <v>265</v>
      </c>
      <c r="V38" t="s">
        <v>266</v>
      </c>
      <c r="W38" t="s">
        <v>267</v>
      </c>
      <c r="X38" t="s">
        <v>268</v>
      </c>
      <c r="Y38" t="s">
        <v>269</v>
      </c>
      <c r="Z38" t="s">
        <v>270</v>
      </c>
    </row>
    <row r="39" spans="1:74" x14ac:dyDescent="0.25">
      <c r="A39" t="s">
        <v>3</v>
      </c>
      <c r="B39" t="s">
        <v>178</v>
      </c>
      <c r="C39" t="s">
        <v>272</v>
      </c>
      <c r="D39" t="s">
        <v>4</v>
      </c>
      <c r="E39" t="s">
        <v>5</v>
      </c>
      <c r="F39" t="s">
        <v>6</v>
      </c>
      <c r="G39" t="s">
        <v>7</v>
      </c>
      <c r="H39" t="s">
        <v>8</v>
      </c>
      <c r="I39" t="s">
        <v>9</v>
      </c>
      <c r="J39" t="s">
        <v>10</v>
      </c>
      <c r="K39" t="s">
        <v>11</v>
      </c>
      <c r="L39" t="s">
        <v>12</v>
      </c>
      <c r="M39" t="s">
        <v>13</v>
      </c>
      <c r="N39" t="s">
        <v>14</v>
      </c>
      <c r="O39" t="s">
        <v>7</v>
      </c>
      <c r="P39" t="s">
        <v>8</v>
      </c>
      <c r="Q39" t="s">
        <v>9</v>
      </c>
      <c r="R39" t="s">
        <v>15</v>
      </c>
      <c r="S39" t="s">
        <v>16</v>
      </c>
      <c r="T39" t="s">
        <v>17</v>
      </c>
      <c r="U39" t="s">
        <v>18</v>
      </c>
      <c r="V39" t="s">
        <v>19</v>
      </c>
      <c r="W39" t="s">
        <v>20</v>
      </c>
      <c r="X39" t="s">
        <v>21</v>
      </c>
      <c r="Y39" t="s">
        <v>22</v>
      </c>
      <c r="Z39" t="s">
        <v>23</v>
      </c>
      <c r="AA39" t="s">
        <v>24</v>
      </c>
      <c r="AB39" t="s">
        <v>25</v>
      </c>
      <c r="AC39" t="s">
        <v>26</v>
      </c>
      <c r="AD39" t="s">
        <v>27</v>
      </c>
      <c r="AE39" t="s">
        <v>28</v>
      </c>
      <c r="AF39" t="s">
        <v>29</v>
      </c>
      <c r="AG39" t="s">
        <v>30</v>
      </c>
      <c r="AH39" t="s">
        <v>31</v>
      </c>
      <c r="AI39" t="s">
        <v>32</v>
      </c>
      <c r="AJ39" t="s">
        <v>33</v>
      </c>
      <c r="AK39" t="s">
        <v>34</v>
      </c>
      <c r="AL39" t="s">
        <v>35</v>
      </c>
      <c r="AM39" t="s">
        <v>36</v>
      </c>
      <c r="AN39" t="s">
        <v>37</v>
      </c>
    </row>
    <row r="40" spans="1:74" x14ac:dyDescent="0.25">
      <c r="A40" t="s">
        <v>94</v>
      </c>
      <c r="B40" t="s">
        <v>178</v>
      </c>
      <c r="C40" t="s">
        <v>273</v>
      </c>
      <c r="D40" t="s">
        <v>10</v>
      </c>
      <c r="E40" t="s">
        <v>14</v>
      </c>
      <c r="F40" t="s">
        <v>51</v>
      </c>
      <c r="G40" t="s">
        <v>53</v>
      </c>
      <c r="H40" t="s">
        <v>95</v>
      </c>
      <c r="I40" t="s">
        <v>96</v>
      </c>
      <c r="J40" t="s">
        <v>55</v>
      </c>
      <c r="K40" t="s">
        <v>56</v>
      </c>
      <c r="L40" t="s">
        <v>57</v>
      </c>
      <c r="M40" t="s">
        <v>97</v>
      </c>
      <c r="N40" t="s">
        <v>23</v>
      </c>
      <c r="O40" t="s">
        <v>24</v>
      </c>
      <c r="P40" t="s">
        <v>25</v>
      </c>
      <c r="Q40" t="s">
        <v>26</v>
      </c>
      <c r="R40" t="s">
        <v>27</v>
      </c>
      <c r="S40" t="s">
        <v>28</v>
      </c>
      <c r="T40" t="s">
        <v>29</v>
      </c>
      <c r="U40" t="s">
        <v>30</v>
      </c>
      <c r="V40" t="s">
        <v>31</v>
      </c>
      <c r="W40" t="s">
        <v>32</v>
      </c>
      <c r="X40" t="s">
        <v>33</v>
      </c>
      <c r="Y40" t="s">
        <v>34</v>
      </c>
      <c r="Z40" t="s">
        <v>13</v>
      </c>
      <c r="AA40" t="s">
        <v>14</v>
      </c>
      <c r="AB40" t="s">
        <v>7</v>
      </c>
      <c r="AC40" t="s">
        <v>8</v>
      </c>
      <c r="AD40" t="s">
        <v>9</v>
      </c>
      <c r="AE40" t="s">
        <v>15</v>
      </c>
      <c r="AF40" t="s">
        <v>55</v>
      </c>
      <c r="AG40" t="s">
        <v>56</v>
      </c>
      <c r="AH40" t="s">
        <v>57</v>
      </c>
      <c r="AI40" t="s">
        <v>62</v>
      </c>
      <c r="AJ40" t="s">
        <v>63</v>
      </c>
      <c r="AK40" t="s">
        <v>64</v>
      </c>
      <c r="AL40" t="s">
        <v>66</v>
      </c>
      <c r="AM40" t="s">
        <v>67</v>
      </c>
      <c r="AN40" t="s">
        <v>68</v>
      </c>
      <c r="AO40" t="s">
        <v>69</v>
      </c>
      <c r="AP40" t="s">
        <v>70</v>
      </c>
      <c r="AQ40" t="s">
        <v>71</v>
      </c>
      <c r="AR40" t="s">
        <v>37</v>
      </c>
    </row>
    <row r="41" spans="1:74" x14ac:dyDescent="0.25">
      <c r="A41" t="s">
        <v>117</v>
      </c>
      <c r="B41" t="s">
        <v>178</v>
      </c>
      <c r="C41" t="s">
        <v>274</v>
      </c>
      <c r="D41" t="s">
        <v>10</v>
      </c>
      <c r="E41" t="s">
        <v>14</v>
      </c>
      <c r="F41" t="s">
        <v>51</v>
      </c>
      <c r="G41" t="s">
        <v>118</v>
      </c>
      <c r="H41" t="s">
        <v>54</v>
      </c>
      <c r="I41" t="s">
        <v>55</v>
      </c>
      <c r="J41" t="s">
        <v>56</v>
      </c>
      <c r="K41" t="s">
        <v>57</v>
      </c>
      <c r="L41" t="s">
        <v>58</v>
      </c>
      <c r="M41" t="s">
        <v>55</v>
      </c>
      <c r="N41" t="s">
        <v>56</v>
      </c>
      <c r="O41" t="s">
        <v>57</v>
      </c>
      <c r="P41" t="s">
        <v>13</v>
      </c>
      <c r="Q41" t="s">
        <v>14</v>
      </c>
      <c r="R41" t="s">
        <v>7</v>
      </c>
      <c r="S41" t="s">
        <v>8</v>
      </c>
      <c r="T41" t="s">
        <v>9</v>
      </c>
      <c r="U41" t="s">
        <v>15</v>
      </c>
      <c r="V41" t="s">
        <v>55</v>
      </c>
      <c r="W41" t="s">
        <v>56</v>
      </c>
      <c r="X41" t="s">
        <v>57</v>
      </c>
      <c r="Y41" t="s">
        <v>119</v>
      </c>
      <c r="Z41" t="s">
        <v>120</v>
      </c>
      <c r="AA41" t="s">
        <v>121</v>
      </c>
      <c r="AB41" t="s">
        <v>122</v>
      </c>
      <c r="AC41" t="s">
        <v>123</v>
      </c>
      <c r="AD41" t="s">
        <v>124</v>
      </c>
      <c r="AE41" t="s">
        <v>125</v>
      </c>
      <c r="AF41" t="s">
        <v>126</v>
      </c>
      <c r="AG41" t="s">
        <v>127</v>
      </c>
      <c r="AH41" t="s">
        <v>128</v>
      </c>
      <c r="AI41" t="s">
        <v>24</v>
      </c>
      <c r="AJ41" t="s">
        <v>25</v>
      </c>
      <c r="AK41" t="s">
        <v>129</v>
      </c>
      <c r="AL41" t="s">
        <v>130</v>
      </c>
      <c r="AM41" t="s">
        <v>131</v>
      </c>
      <c r="AN41" t="s">
        <v>132</v>
      </c>
      <c r="AO41" t="s">
        <v>133</v>
      </c>
      <c r="AP41" t="s">
        <v>24</v>
      </c>
      <c r="AQ41" t="s">
        <v>25</v>
      </c>
      <c r="AR41" t="s">
        <v>134</v>
      </c>
      <c r="AS41" t="s">
        <v>135</v>
      </c>
      <c r="AT41" t="s">
        <v>136</v>
      </c>
      <c r="AU41" t="s">
        <v>137</v>
      </c>
      <c r="AV41" t="s">
        <v>138</v>
      </c>
      <c r="AW41" t="s">
        <v>139</v>
      </c>
      <c r="AX41" t="s">
        <v>140</v>
      </c>
      <c r="AY41" t="s">
        <v>141</v>
      </c>
      <c r="AZ41" t="s">
        <v>142</v>
      </c>
      <c r="BA41" t="s">
        <v>62</v>
      </c>
      <c r="BB41" t="s">
        <v>63</v>
      </c>
      <c r="BC41" t="s">
        <v>64</v>
      </c>
      <c r="BD41" t="s">
        <v>66</v>
      </c>
      <c r="BE41" t="s">
        <v>67</v>
      </c>
      <c r="BF41" t="s">
        <v>68</v>
      </c>
      <c r="BG41" t="s">
        <v>69</v>
      </c>
      <c r="BH41" t="s">
        <v>70</v>
      </c>
      <c r="BI41" t="s">
        <v>71</v>
      </c>
      <c r="BJ41" t="s">
        <v>143</v>
      </c>
      <c r="BK41" t="s">
        <v>57</v>
      </c>
      <c r="BL41" t="s">
        <v>144</v>
      </c>
      <c r="BM41" t="s">
        <v>145</v>
      </c>
      <c r="BN41" t="s">
        <v>57</v>
      </c>
      <c r="BO41" t="s">
        <v>146</v>
      </c>
      <c r="BP41" t="s">
        <v>147</v>
      </c>
      <c r="BQ41" t="s">
        <v>148</v>
      </c>
      <c r="BR41" t="s">
        <v>149</v>
      </c>
      <c r="BS41" t="s">
        <v>150</v>
      </c>
      <c r="BT41" t="s">
        <v>151</v>
      </c>
      <c r="BU41" t="s">
        <v>152</v>
      </c>
      <c r="BV41" t="s">
        <v>72</v>
      </c>
    </row>
    <row r="42" spans="1:74" x14ac:dyDescent="0.25">
      <c r="A42" t="s">
        <v>50</v>
      </c>
      <c r="B42" t="s">
        <v>178</v>
      </c>
      <c r="C42" t="s">
        <v>275</v>
      </c>
      <c r="D42" t="s">
        <v>10</v>
      </c>
      <c r="E42" t="s">
        <v>14</v>
      </c>
      <c r="F42" t="s">
        <v>51</v>
      </c>
      <c r="G42" t="s">
        <v>52</v>
      </c>
      <c r="H42" t="s">
        <v>53</v>
      </c>
      <c r="I42" t="s">
        <v>54</v>
      </c>
      <c r="J42" t="s">
        <v>55</v>
      </c>
      <c r="K42" t="s">
        <v>56</v>
      </c>
      <c r="L42" t="s">
        <v>57</v>
      </c>
      <c r="M42" t="s">
        <v>58</v>
      </c>
      <c r="N42" t="s">
        <v>55</v>
      </c>
      <c r="O42" t="s">
        <v>56</v>
      </c>
      <c r="P42" t="s">
        <v>57</v>
      </c>
      <c r="Q42" t="s">
        <v>13</v>
      </c>
      <c r="R42" t="s">
        <v>14</v>
      </c>
      <c r="S42" t="s">
        <v>7</v>
      </c>
      <c r="T42" t="s">
        <v>8</v>
      </c>
      <c r="U42" t="s">
        <v>9</v>
      </c>
      <c r="V42" t="s">
        <v>15</v>
      </c>
      <c r="W42" t="s">
        <v>55</v>
      </c>
      <c r="X42" t="s">
        <v>56</v>
      </c>
      <c r="Y42" t="s">
        <v>57</v>
      </c>
      <c r="Z42" t="s">
        <v>59</v>
      </c>
      <c r="AA42" t="s">
        <v>60</v>
      </c>
      <c r="AB42" t="s">
        <v>61</v>
      </c>
      <c r="AC42" t="s">
        <v>34</v>
      </c>
      <c r="AD42" t="s">
        <v>62</v>
      </c>
      <c r="AE42" t="s">
        <v>63</v>
      </c>
      <c r="AF42" t="s">
        <v>64</v>
      </c>
      <c r="AG42" t="s">
        <v>65</v>
      </c>
      <c r="AH42" t="s">
        <v>66</v>
      </c>
      <c r="AI42" t="s">
        <v>67</v>
      </c>
      <c r="AJ42" t="s">
        <v>68</v>
      </c>
      <c r="AK42" t="s">
        <v>69</v>
      </c>
      <c r="AL42" t="s">
        <v>70</v>
      </c>
      <c r="AM42" t="s">
        <v>71</v>
      </c>
      <c r="AN42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C59C2D71B05F4D98F3DCC997D49715" ma:contentTypeVersion="13" ma:contentTypeDescription="Create a new document." ma:contentTypeScope="" ma:versionID="b16c6ab8f112d4441dbc68619eb6a673">
  <xsd:schema xmlns:xsd="http://www.w3.org/2001/XMLSchema" xmlns:xs="http://www.w3.org/2001/XMLSchema" xmlns:p="http://schemas.microsoft.com/office/2006/metadata/properties" xmlns:ns3="c89210f6-3d40-4b60-aa82-ed77cb5268e0" xmlns:ns4="5c2b813f-cf23-4008-9486-60c12e139855" targetNamespace="http://schemas.microsoft.com/office/2006/metadata/properties" ma:root="true" ma:fieldsID="5644ecf51ca8e0f1274c74e9c53cbda1" ns3:_="" ns4:_="">
    <xsd:import namespace="c89210f6-3d40-4b60-aa82-ed77cb5268e0"/>
    <xsd:import namespace="5c2b813f-cf23-4008-9486-60c12e1398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9210f6-3d40-4b60-aa82-ed77cb5268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b813f-cf23-4008-9486-60c12e13985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986407-FF46-48AF-8FA1-514A13801D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9210f6-3d40-4b60-aa82-ed77cb5268e0"/>
    <ds:schemaRef ds:uri="5c2b813f-cf23-4008-9486-60c12e1398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F5405E-013C-4B81-AC9F-E3E388C1D1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4A2FDF-034C-4785-A97F-1CA9146F874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Tolerances</vt:lpstr>
      <vt:lpstr>GD&amp;T</vt:lpstr>
      <vt:lpstr>Moves</vt:lpstr>
      <vt:lpstr>Measures</vt:lpstr>
      <vt:lpstr>Points</vt:lpstr>
      <vt:lpstr>Spec Study</vt:lpstr>
      <vt:lpstr>Geo</vt:lpstr>
      <vt:lpstr>Feature Creation</vt:lpstr>
      <vt:lpstr>Version</vt:lpstr>
      <vt:lpstr>Unit</vt:lpstr>
      <vt:lpstr>Feature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Rosenlund</dc:creator>
  <cp:lastModifiedBy>Erik Rosenlund</cp:lastModifiedBy>
  <dcterms:created xsi:type="dcterms:W3CDTF">2020-08-06T05:37:23Z</dcterms:created>
  <dcterms:modified xsi:type="dcterms:W3CDTF">2020-08-06T05:50:22Z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0x010100E4C59C2D71B05F4D98F3DCC997D49715</vt:lpwstr>
  </property>
</Properties>
</file>